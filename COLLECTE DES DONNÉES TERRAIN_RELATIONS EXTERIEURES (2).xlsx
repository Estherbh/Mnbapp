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TECH\ML virunga tracker\developpement\"/>
    </mc:Choice>
  </mc:AlternateContent>
  <xr:revisionPtr revIDLastSave="0" documentId="13_ncr:20001_{393718CC-C7E7-41D0-8115-F102D2A013ED}" xr6:coauthVersionLast="36" xr6:coauthVersionMax="36" xr10:uidLastSave="{00000000-0000-0000-0000-000000000000}"/>
  <bookViews>
    <workbookView xWindow="0" yWindow="0" windowWidth="23040" windowHeight="10380" activeTab="2" xr2:uid="{00000000-000D-0000-FFFF-FFFF00000000}"/>
  </bookViews>
  <sheets>
    <sheet name="Visitestage" sheetId="1" r:id="rId1"/>
    <sheet name="Donnees_Activites" sheetId="2" r:id="rId2"/>
    <sheet name="Dashboard_Auto" sheetId="5" r:id="rId3"/>
    <sheet name="Historique" sheetId="6" r:id="rId4"/>
  </sheets>
  <calcPr calcId="191029"/>
  <fileRecoveryPr repairLoad="1"/>
</workbook>
</file>

<file path=xl/calcChain.xml><?xml version="1.0" encoding="utf-8"?>
<calcChain xmlns="http://schemas.openxmlformats.org/spreadsheetml/2006/main">
  <c r="G1000" i="5" l="1"/>
  <c r="F1000" i="5"/>
  <c r="E1000" i="5"/>
  <c r="G999" i="5"/>
  <c r="F999" i="5"/>
  <c r="E999" i="5"/>
  <c r="G998" i="5"/>
  <c r="F998" i="5"/>
  <c r="E998" i="5"/>
  <c r="G997" i="5"/>
  <c r="F997" i="5"/>
  <c r="E997" i="5"/>
  <c r="G996" i="5"/>
  <c r="F996" i="5"/>
  <c r="E996" i="5"/>
  <c r="G995" i="5"/>
  <c r="F995" i="5"/>
  <c r="E995" i="5"/>
  <c r="G994" i="5"/>
  <c r="F994" i="5"/>
  <c r="E994" i="5"/>
  <c r="G993" i="5"/>
  <c r="F993" i="5"/>
  <c r="E993" i="5"/>
  <c r="G992" i="5"/>
  <c r="F992" i="5"/>
  <c r="E992" i="5"/>
  <c r="G991" i="5"/>
  <c r="F991" i="5"/>
  <c r="E991" i="5"/>
  <c r="G990" i="5"/>
  <c r="F990" i="5"/>
  <c r="E990" i="5"/>
  <c r="G989" i="5"/>
  <c r="F989" i="5"/>
  <c r="E989" i="5"/>
  <c r="G988" i="5"/>
  <c r="F988" i="5"/>
  <c r="E988" i="5"/>
  <c r="G987" i="5"/>
  <c r="F987" i="5"/>
  <c r="E987" i="5"/>
  <c r="G986" i="5"/>
  <c r="F986" i="5"/>
  <c r="E986" i="5"/>
  <c r="G985" i="5"/>
  <c r="F985" i="5"/>
  <c r="E985" i="5"/>
  <c r="G984" i="5"/>
  <c r="F984" i="5"/>
  <c r="E984" i="5"/>
  <c r="G983" i="5"/>
  <c r="F983" i="5"/>
  <c r="E983" i="5"/>
  <c r="G982" i="5"/>
  <c r="F982" i="5"/>
  <c r="E982" i="5"/>
  <c r="G981" i="5"/>
  <c r="F981" i="5"/>
  <c r="E981" i="5"/>
  <c r="G980" i="5"/>
  <c r="F980" i="5"/>
  <c r="E980" i="5"/>
  <c r="G979" i="5"/>
  <c r="F979" i="5"/>
  <c r="E979" i="5"/>
  <c r="G978" i="5"/>
  <c r="F978" i="5"/>
  <c r="E978" i="5"/>
  <c r="G977" i="5"/>
  <c r="F977" i="5"/>
  <c r="E977" i="5"/>
  <c r="G976" i="5"/>
  <c r="F976" i="5"/>
  <c r="E976" i="5"/>
  <c r="G975" i="5"/>
  <c r="F975" i="5"/>
  <c r="E975" i="5"/>
  <c r="G974" i="5"/>
  <c r="F974" i="5"/>
  <c r="E974" i="5"/>
  <c r="G973" i="5"/>
  <c r="F973" i="5"/>
  <c r="E973" i="5"/>
  <c r="G972" i="5"/>
  <c r="F972" i="5"/>
  <c r="E972" i="5"/>
  <c r="G971" i="5"/>
  <c r="F971" i="5"/>
  <c r="E971" i="5"/>
  <c r="G970" i="5"/>
  <c r="F970" i="5"/>
  <c r="E970" i="5"/>
  <c r="G969" i="5"/>
  <c r="F969" i="5"/>
  <c r="E969" i="5"/>
  <c r="G968" i="5"/>
  <c r="F968" i="5"/>
  <c r="E968" i="5"/>
  <c r="G967" i="5"/>
  <c r="F967" i="5"/>
  <c r="E967" i="5"/>
  <c r="G966" i="5"/>
  <c r="F966" i="5"/>
  <c r="E966" i="5"/>
  <c r="G965" i="5"/>
  <c r="F965" i="5"/>
  <c r="E965" i="5"/>
  <c r="G964" i="5"/>
  <c r="F964" i="5"/>
  <c r="E964" i="5"/>
  <c r="G963" i="5"/>
  <c r="F963" i="5"/>
  <c r="E963" i="5"/>
  <c r="G962" i="5"/>
  <c r="F962" i="5"/>
  <c r="E962" i="5"/>
  <c r="G961" i="5"/>
  <c r="F961" i="5"/>
  <c r="E961" i="5"/>
  <c r="G960" i="5"/>
  <c r="F960" i="5"/>
  <c r="E960" i="5"/>
  <c r="G959" i="5"/>
  <c r="F959" i="5"/>
  <c r="E959" i="5"/>
  <c r="G958" i="5"/>
  <c r="F958" i="5"/>
  <c r="E958" i="5"/>
  <c r="G957" i="5"/>
  <c r="F957" i="5"/>
  <c r="E957" i="5"/>
  <c r="G956" i="5"/>
  <c r="F956" i="5"/>
  <c r="E956" i="5"/>
  <c r="G955" i="5"/>
  <c r="F955" i="5"/>
  <c r="E955" i="5"/>
  <c r="G954" i="5"/>
  <c r="F954" i="5"/>
  <c r="E954" i="5"/>
  <c r="G953" i="5"/>
  <c r="F953" i="5"/>
  <c r="E953" i="5"/>
  <c r="G952" i="5"/>
  <c r="F952" i="5"/>
  <c r="E952" i="5"/>
  <c r="G951" i="5"/>
  <c r="F951" i="5"/>
  <c r="E951" i="5"/>
  <c r="G950" i="5"/>
  <c r="F950" i="5"/>
  <c r="E950" i="5"/>
  <c r="G949" i="5"/>
  <c r="F949" i="5"/>
  <c r="E949" i="5"/>
  <c r="G948" i="5"/>
  <c r="F948" i="5"/>
  <c r="E948" i="5"/>
  <c r="G947" i="5"/>
  <c r="F947" i="5"/>
  <c r="E947" i="5"/>
  <c r="G946" i="5"/>
  <c r="F946" i="5"/>
  <c r="E946" i="5"/>
  <c r="G945" i="5"/>
  <c r="F945" i="5"/>
  <c r="E945" i="5"/>
  <c r="G944" i="5"/>
  <c r="F944" i="5"/>
  <c r="E944" i="5"/>
  <c r="G943" i="5"/>
  <c r="F943" i="5"/>
  <c r="E943" i="5"/>
  <c r="G942" i="5"/>
  <c r="F942" i="5"/>
  <c r="E942" i="5"/>
  <c r="G941" i="5"/>
  <c r="F941" i="5"/>
  <c r="E941" i="5"/>
  <c r="G940" i="5"/>
  <c r="F940" i="5"/>
  <c r="E940" i="5"/>
  <c r="G939" i="5"/>
  <c r="F939" i="5"/>
  <c r="E939" i="5"/>
  <c r="G938" i="5"/>
  <c r="F938" i="5"/>
  <c r="E938" i="5"/>
  <c r="G937" i="5"/>
  <c r="F937" i="5"/>
  <c r="E937" i="5"/>
  <c r="G936" i="5"/>
  <c r="F936" i="5"/>
  <c r="E936" i="5"/>
  <c r="G935" i="5"/>
  <c r="F935" i="5"/>
  <c r="E935" i="5"/>
  <c r="G934" i="5"/>
  <c r="F934" i="5"/>
  <c r="E934" i="5"/>
  <c r="G933" i="5"/>
  <c r="F933" i="5"/>
  <c r="E933" i="5"/>
  <c r="G932" i="5"/>
  <c r="F932" i="5"/>
  <c r="E932" i="5"/>
  <c r="G931" i="5"/>
  <c r="F931" i="5"/>
  <c r="E931" i="5"/>
  <c r="G930" i="5"/>
  <c r="F930" i="5"/>
  <c r="E930" i="5"/>
  <c r="G929" i="5"/>
  <c r="F929" i="5"/>
  <c r="E929" i="5"/>
  <c r="G928" i="5"/>
  <c r="F928" i="5"/>
  <c r="E928" i="5"/>
  <c r="G927" i="5"/>
  <c r="F927" i="5"/>
  <c r="E927" i="5"/>
  <c r="G926" i="5"/>
  <c r="F926" i="5"/>
  <c r="E926" i="5"/>
  <c r="G925" i="5"/>
  <c r="F925" i="5"/>
  <c r="E925" i="5"/>
  <c r="G924" i="5"/>
  <c r="F924" i="5"/>
  <c r="E924" i="5"/>
  <c r="G923" i="5"/>
  <c r="F923" i="5"/>
  <c r="E923" i="5"/>
  <c r="G922" i="5"/>
  <c r="F922" i="5"/>
  <c r="E922" i="5"/>
  <c r="G921" i="5"/>
  <c r="F921" i="5"/>
  <c r="E921" i="5"/>
  <c r="G920" i="5"/>
  <c r="F920" i="5"/>
  <c r="E920" i="5"/>
  <c r="G919" i="5"/>
  <c r="F919" i="5"/>
  <c r="E919" i="5"/>
  <c r="G918" i="5"/>
  <c r="F918" i="5"/>
  <c r="E918" i="5"/>
  <c r="G917" i="5"/>
  <c r="F917" i="5"/>
  <c r="E917" i="5"/>
  <c r="G916" i="5"/>
  <c r="F916" i="5"/>
  <c r="E916" i="5"/>
  <c r="G915" i="5"/>
  <c r="F915" i="5"/>
  <c r="E915" i="5"/>
  <c r="G914" i="5"/>
  <c r="F914" i="5"/>
  <c r="E914" i="5"/>
  <c r="G913" i="5"/>
  <c r="F913" i="5"/>
  <c r="E913" i="5"/>
  <c r="G912" i="5"/>
  <c r="F912" i="5"/>
  <c r="E912" i="5"/>
  <c r="G911" i="5"/>
  <c r="F911" i="5"/>
  <c r="E911" i="5"/>
  <c r="G910" i="5"/>
  <c r="F910" i="5"/>
  <c r="E910" i="5"/>
  <c r="G909" i="5"/>
  <c r="F909" i="5"/>
  <c r="E909" i="5"/>
  <c r="G908" i="5"/>
  <c r="F908" i="5"/>
  <c r="E908" i="5"/>
  <c r="G907" i="5"/>
  <c r="F907" i="5"/>
  <c r="E907" i="5"/>
  <c r="G906" i="5"/>
  <c r="F906" i="5"/>
  <c r="E906" i="5"/>
  <c r="G905" i="5"/>
  <c r="F905" i="5"/>
  <c r="E905" i="5"/>
  <c r="G904" i="5"/>
  <c r="F904" i="5"/>
  <c r="E904" i="5"/>
  <c r="G903" i="5"/>
  <c r="F903" i="5"/>
  <c r="E903" i="5"/>
  <c r="G902" i="5"/>
  <c r="F902" i="5"/>
  <c r="E902" i="5"/>
  <c r="G901" i="5"/>
  <c r="F901" i="5"/>
  <c r="E901" i="5"/>
  <c r="G900" i="5"/>
  <c r="F900" i="5"/>
  <c r="E900" i="5"/>
  <c r="G899" i="5"/>
  <c r="F899" i="5"/>
  <c r="E899" i="5"/>
  <c r="G898" i="5"/>
  <c r="F898" i="5"/>
  <c r="E898" i="5"/>
  <c r="G897" i="5"/>
  <c r="F897" i="5"/>
  <c r="E897" i="5"/>
  <c r="G896" i="5"/>
  <c r="F896" i="5"/>
  <c r="E896" i="5"/>
  <c r="G895" i="5"/>
  <c r="F895" i="5"/>
  <c r="E895" i="5"/>
  <c r="G894" i="5"/>
  <c r="F894" i="5"/>
  <c r="E894" i="5"/>
  <c r="G893" i="5"/>
  <c r="F893" i="5"/>
  <c r="E893" i="5"/>
  <c r="G892" i="5"/>
  <c r="F892" i="5"/>
  <c r="E892" i="5"/>
  <c r="G891" i="5"/>
  <c r="F891" i="5"/>
  <c r="E891" i="5"/>
  <c r="G890" i="5"/>
  <c r="F890" i="5"/>
  <c r="E890" i="5"/>
  <c r="G889" i="5"/>
  <c r="F889" i="5"/>
  <c r="E889" i="5"/>
  <c r="G888" i="5"/>
  <c r="F888" i="5"/>
  <c r="E888" i="5"/>
  <c r="G887" i="5"/>
  <c r="F887" i="5"/>
  <c r="E887" i="5"/>
  <c r="G886" i="5"/>
  <c r="F886" i="5"/>
  <c r="E886" i="5"/>
  <c r="G885" i="5"/>
  <c r="F885" i="5"/>
  <c r="E885" i="5"/>
  <c r="G884" i="5"/>
  <c r="F884" i="5"/>
  <c r="E884" i="5"/>
  <c r="G883" i="5"/>
  <c r="F883" i="5"/>
  <c r="E883" i="5"/>
  <c r="G882" i="5"/>
  <c r="F882" i="5"/>
  <c r="E882" i="5"/>
  <c r="G881" i="5"/>
  <c r="F881" i="5"/>
  <c r="E881" i="5"/>
  <c r="G880" i="5"/>
  <c r="F880" i="5"/>
  <c r="E880" i="5"/>
  <c r="G879" i="5"/>
  <c r="F879" i="5"/>
  <c r="E879" i="5"/>
  <c r="G878" i="5"/>
  <c r="F878" i="5"/>
  <c r="E878" i="5"/>
  <c r="G877" i="5"/>
  <c r="F877" i="5"/>
  <c r="E877" i="5"/>
  <c r="G876" i="5"/>
  <c r="F876" i="5"/>
  <c r="E876" i="5"/>
  <c r="G875" i="5"/>
  <c r="F875" i="5"/>
  <c r="E875" i="5"/>
  <c r="G874" i="5"/>
  <c r="F874" i="5"/>
  <c r="E874" i="5"/>
  <c r="G873" i="5"/>
  <c r="F873" i="5"/>
  <c r="E873" i="5"/>
  <c r="G872" i="5"/>
  <c r="F872" i="5"/>
  <c r="E872" i="5"/>
  <c r="G871" i="5"/>
  <c r="F871" i="5"/>
  <c r="E871" i="5"/>
  <c r="G870" i="5"/>
  <c r="F870" i="5"/>
  <c r="E870" i="5"/>
  <c r="G869" i="5"/>
  <c r="F869" i="5"/>
  <c r="E869" i="5"/>
  <c r="G868" i="5"/>
  <c r="F868" i="5"/>
  <c r="E868" i="5"/>
  <c r="G867" i="5"/>
  <c r="F867" i="5"/>
  <c r="E867" i="5"/>
  <c r="G866" i="5"/>
  <c r="F866" i="5"/>
  <c r="E866" i="5"/>
  <c r="G865" i="5"/>
  <c r="F865" i="5"/>
  <c r="E865" i="5"/>
  <c r="G864" i="5"/>
  <c r="F864" i="5"/>
  <c r="E864" i="5"/>
  <c r="G863" i="5"/>
  <c r="F863" i="5"/>
  <c r="E863" i="5"/>
  <c r="G862" i="5"/>
  <c r="F862" i="5"/>
  <c r="E862" i="5"/>
  <c r="G861" i="5"/>
  <c r="F861" i="5"/>
  <c r="E861" i="5"/>
  <c r="G860" i="5"/>
  <c r="F860" i="5"/>
  <c r="E860" i="5"/>
  <c r="G859" i="5"/>
  <c r="F859" i="5"/>
  <c r="E859" i="5"/>
  <c r="G858" i="5"/>
  <c r="F858" i="5"/>
  <c r="E858" i="5"/>
  <c r="G857" i="5"/>
  <c r="F857" i="5"/>
  <c r="E857" i="5"/>
  <c r="G856" i="5"/>
  <c r="F856" i="5"/>
  <c r="E856" i="5"/>
  <c r="G855" i="5"/>
  <c r="F855" i="5"/>
  <c r="E855" i="5"/>
  <c r="G854" i="5"/>
  <c r="F854" i="5"/>
  <c r="E854" i="5"/>
  <c r="G853" i="5"/>
  <c r="F853" i="5"/>
  <c r="E853" i="5"/>
  <c r="G852" i="5"/>
  <c r="F852" i="5"/>
  <c r="E852" i="5"/>
  <c r="G851" i="5"/>
  <c r="F851" i="5"/>
  <c r="E851" i="5"/>
  <c r="G850" i="5"/>
  <c r="F850" i="5"/>
  <c r="E850" i="5"/>
  <c r="G849" i="5"/>
  <c r="F849" i="5"/>
  <c r="E849" i="5"/>
  <c r="G848" i="5"/>
  <c r="F848" i="5"/>
  <c r="E848" i="5"/>
  <c r="G847" i="5"/>
  <c r="F847" i="5"/>
  <c r="E847" i="5"/>
  <c r="G846" i="5"/>
  <c r="F846" i="5"/>
  <c r="E846" i="5"/>
  <c r="G845" i="5"/>
  <c r="F845" i="5"/>
  <c r="E845" i="5"/>
  <c r="G844" i="5"/>
  <c r="F844" i="5"/>
  <c r="E844" i="5"/>
  <c r="G843" i="5"/>
  <c r="F843" i="5"/>
  <c r="E843" i="5"/>
  <c r="G842" i="5"/>
  <c r="F842" i="5"/>
  <c r="E842" i="5"/>
  <c r="G841" i="5"/>
  <c r="F841" i="5"/>
  <c r="E841" i="5"/>
  <c r="G840" i="5"/>
  <c r="F840" i="5"/>
  <c r="E840" i="5"/>
  <c r="G839" i="5"/>
  <c r="F839" i="5"/>
  <c r="E839" i="5"/>
  <c r="G838" i="5"/>
  <c r="F838" i="5"/>
  <c r="E838" i="5"/>
  <c r="G837" i="5"/>
  <c r="F837" i="5"/>
  <c r="E837" i="5"/>
  <c r="G836" i="5"/>
  <c r="F836" i="5"/>
  <c r="E836" i="5"/>
  <c r="G835" i="5"/>
  <c r="F835" i="5"/>
  <c r="E835" i="5"/>
  <c r="G834" i="5"/>
  <c r="F834" i="5"/>
  <c r="E834" i="5"/>
  <c r="G833" i="5"/>
  <c r="F833" i="5"/>
  <c r="E833" i="5"/>
  <c r="G832" i="5"/>
  <c r="F832" i="5"/>
  <c r="E832" i="5"/>
  <c r="G831" i="5"/>
  <c r="F831" i="5"/>
  <c r="E831" i="5"/>
  <c r="G830" i="5"/>
  <c r="F830" i="5"/>
  <c r="E830" i="5"/>
  <c r="G829" i="5"/>
  <c r="F829" i="5"/>
  <c r="E829" i="5"/>
  <c r="G828" i="5"/>
  <c r="F828" i="5"/>
  <c r="E828" i="5"/>
  <c r="G827" i="5"/>
  <c r="F827" i="5"/>
  <c r="E827" i="5"/>
  <c r="G826" i="5"/>
  <c r="F826" i="5"/>
  <c r="E826" i="5"/>
  <c r="G825" i="5"/>
  <c r="F825" i="5"/>
  <c r="E825" i="5"/>
  <c r="G824" i="5"/>
  <c r="F824" i="5"/>
  <c r="E824" i="5"/>
  <c r="G823" i="5"/>
  <c r="F823" i="5"/>
  <c r="E823" i="5"/>
  <c r="G822" i="5"/>
  <c r="F822" i="5"/>
  <c r="E822" i="5"/>
  <c r="G821" i="5"/>
  <c r="F821" i="5"/>
  <c r="E821" i="5"/>
  <c r="G820" i="5"/>
  <c r="F820" i="5"/>
  <c r="E820" i="5"/>
  <c r="G819" i="5"/>
  <c r="F819" i="5"/>
  <c r="E819" i="5"/>
  <c r="G818" i="5"/>
  <c r="F818" i="5"/>
  <c r="E818" i="5"/>
  <c r="G817" i="5"/>
  <c r="F817" i="5"/>
  <c r="E817" i="5"/>
  <c r="G816" i="5"/>
  <c r="F816" i="5"/>
  <c r="E816" i="5"/>
  <c r="G815" i="5"/>
  <c r="F815" i="5"/>
  <c r="E815" i="5"/>
  <c r="G814" i="5"/>
  <c r="F814" i="5"/>
  <c r="E814" i="5"/>
  <c r="G813" i="5"/>
  <c r="F813" i="5"/>
  <c r="E813" i="5"/>
  <c r="G812" i="5"/>
  <c r="F812" i="5"/>
  <c r="E812" i="5"/>
  <c r="G811" i="5"/>
  <c r="F811" i="5"/>
  <c r="E811" i="5"/>
  <c r="G810" i="5"/>
  <c r="F810" i="5"/>
  <c r="E810" i="5"/>
  <c r="G809" i="5"/>
  <c r="F809" i="5"/>
  <c r="E809" i="5"/>
  <c r="G808" i="5"/>
  <c r="F808" i="5"/>
  <c r="E808" i="5"/>
  <c r="G807" i="5"/>
  <c r="F807" i="5"/>
  <c r="E807" i="5"/>
  <c r="G806" i="5"/>
  <c r="F806" i="5"/>
  <c r="E806" i="5"/>
  <c r="G805" i="5"/>
  <c r="F805" i="5"/>
  <c r="E805" i="5"/>
  <c r="G804" i="5"/>
  <c r="F804" i="5"/>
  <c r="E804" i="5"/>
  <c r="G803" i="5"/>
  <c r="F803" i="5"/>
  <c r="E803" i="5"/>
  <c r="G802" i="5"/>
  <c r="F802" i="5"/>
  <c r="E802" i="5"/>
  <c r="G801" i="5"/>
  <c r="F801" i="5"/>
  <c r="E801" i="5"/>
  <c r="G800" i="5"/>
  <c r="F800" i="5"/>
  <c r="E800" i="5"/>
  <c r="G799" i="5"/>
  <c r="F799" i="5"/>
  <c r="E799" i="5"/>
  <c r="G798" i="5"/>
  <c r="F798" i="5"/>
  <c r="E798" i="5"/>
  <c r="G797" i="5"/>
  <c r="F797" i="5"/>
  <c r="E797" i="5"/>
  <c r="G796" i="5"/>
  <c r="F796" i="5"/>
  <c r="E796" i="5"/>
  <c r="G795" i="5"/>
  <c r="F795" i="5"/>
  <c r="E795" i="5"/>
  <c r="G794" i="5"/>
  <c r="F794" i="5"/>
  <c r="E794" i="5"/>
  <c r="G793" i="5"/>
  <c r="F793" i="5"/>
  <c r="E793" i="5"/>
  <c r="G792" i="5"/>
  <c r="F792" i="5"/>
  <c r="E792" i="5"/>
  <c r="G791" i="5"/>
  <c r="F791" i="5"/>
  <c r="E791" i="5"/>
  <c r="G790" i="5"/>
  <c r="F790" i="5"/>
  <c r="E790" i="5"/>
  <c r="G789" i="5"/>
  <c r="F789" i="5"/>
  <c r="E789" i="5"/>
  <c r="G788" i="5"/>
  <c r="F788" i="5"/>
  <c r="E788" i="5"/>
  <c r="G787" i="5"/>
  <c r="F787" i="5"/>
  <c r="E787" i="5"/>
  <c r="G786" i="5"/>
  <c r="F786" i="5"/>
  <c r="E786" i="5"/>
  <c r="G785" i="5"/>
  <c r="F785" i="5"/>
  <c r="E785" i="5"/>
  <c r="G784" i="5"/>
  <c r="F784" i="5"/>
  <c r="E784" i="5"/>
  <c r="G783" i="5"/>
  <c r="F783" i="5"/>
  <c r="E783" i="5"/>
  <c r="G782" i="5"/>
  <c r="F782" i="5"/>
  <c r="E782" i="5"/>
  <c r="G781" i="5"/>
  <c r="F781" i="5"/>
  <c r="E781" i="5"/>
  <c r="G780" i="5"/>
  <c r="F780" i="5"/>
  <c r="E780" i="5"/>
  <c r="G779" i="5"/>
  <c r="F779" i="5"/>
  <c r="E779" i="5"/>
  <c r="G778" i="5"/>
  <c r="F778" i="5"/>
  <c r="E778" i="5"/>
  <c r="G777" i="5"/>
  <c r="F777" i="5"/>
  <c r="E777" i="5"/>
  <c r="G776" i="5"/>
  <c r="F776" i="5"/>
  <c r="E776" i="5"/>
  <c r="G775" i="5"/>
  <c r="F775" i="5"/>
  <c r="E775" i="5"/>
  <c r="G774" i="5"/>
  <c r="F774" i="5"/>
  <c r="E774" i="5"/>
  <c r="G773" i="5"/>
  <c r="F773" i="5"/>
  <c r="E773" i="5"/>
  <c r="G772" i="5"/>
  <c r="F772" i="5"/>
  <c r="E772" i="5"/>
  <c r="G771" i="5"/>
  <c r="F771" i="5"/>
  <c r="E771" i="5"/>
  <c r="G770" i="5"/>
  <c r="F770" i="5"/>
  <c r="E770" i="5"/>
  <c r="G769" i="5"/>
  <c r="F769" i="5"/>
  <c r="E769" i="5"/>
  <c r="G768" i="5"/>
  <c r="F768" i="5"/>
  <c r="E768" i="5"/>
  <c r="G767" i="5"/>
  <c r="F767" i="5"/>
  <c r="E767" i="5"/>
  <c r="G766" i="5"/>
  <c r="F766" i="5"/>
  <c r="E766" i="5"/>
  <c r="G765" i="5"/>
  <c r="F765" i="5"/>
  <c r="E765" i="5"/>
  <c r="G764" i="5"/>
  <c r="F764" i="5"/>
  <c r="E764" i="5"/>
  <c r="G763" i="5"/>
  <c r="F763" i="5"/>
  <c r="E763" i="5"/>
  <c r="G762" i="5"/>
  <c r="F762" i="5"/>
  <c r="E762" i="5"/>
  <c r="G761" i="5"/>
  <c r="F761" i="5"/>
  <c r="E761" i="5"/>
  <c r="G760" i="5"/>
  <c r="F760" i="5"/>
  <c r="E760" i="5"/>
  <c r="G759" i="5"/>
  <c r="F759" i="5"/>
  <c r="E759" i="5"/>
  <c r="G758" i="5"/>
  <c r="F758" i="5"/>
  <c r="E758" i="5"/>
  <c r="G757" i="5"/>
  <c r="F757" i="5"/>
  <c r="E757" i="5"/>
  <c r="G756" i="5"/>
  <c r="F756" i="5"/>
  <c r="E756" i="5"/>
  <c r="G755" i="5"/>
  <c r="F755" i="5"/>
  <c r="E755" i="5"/>
  <c r="G754" i="5"/>
  <c r="F754" i="5"/>
  <c r="E754" i="5"/>
  <c r="G753" i="5"/>
  <c r="F753" i="5"/>
  <c r="E753" i="5"/>
  <c r="G752" i="5"/>
  <c r="F752" i="5"/>
  <c r="E752" i="5"/>
  <c r="G751" i="5"/>
  <c r="F751" i="5"/>
  <c r="E751" i="5"/>
  <c r="G750" i="5"/>
  <c r="F750" i="5"/>
  <c r="E750" i="5"/>
  <c r="G749" i="5"/>
  <c r="F749" i="5"/>
  <c r="E749" i="5"/>
  <c r="G748" i="5"/>
  <c r="F748" i="5"/>
  <c r="E748" i="5"/>
  <c r="G747" i="5"/>
  <c r="F747" i="5"/>
  <c r="E747" i="5"/>
  <c r="G746" i="5"/>
  <c r="F746" i="5"/>
  <c r="E746" i="5"/>
  <c r="G745" i="5"/>
  <c r="F745" i="5"/>
  <c r="E745" i="5"/>
  <c r="G744" i="5"/>
  <c r="F744" i="5"/>
  <c r="E744" i="5"/>
  <c r="G743" i="5"/>
  <c r="F743" i="5"/>
  <c r="E743" i="5"/>
  <c r="G742" i="5"/>
  <c r="F742" i="5"/>
  <c r="E742" i="5"/>
  <c r="G741" i="5"/>
  <c r="F741" i="5"/>
  <c r="E741" i="5"/>
  <c r="G740" i="5"/>
  <c r="F740" i="5"/>
  <c r="E740" i="5"/>
  <c r="G739" i="5"/>
  <c r="F739" i="5"/>
  <c r="E739" i="5"/>
  <c r="G738" i="5"/>
  <c r="F738" i="5"/>
  <c r="E738" i="5"/>
  <c r="G737" i="5"/>
  <c r="F737" i="5"/>
  <c r="E737" i="5"/>
  <c r="G736" i="5"/>
  <c r="F736" i="5"/>
  <c r="E736" i="5"/>
  <c r="G735" i="5"/>
  <c r="F735" i="5"/>
  <c r="E735" i="5"/>
  <c r="G734" i="5"/>
  <c r="F734" i="5"/>
  <c r="E734" i="5"/>
  <c r="G733" i="5"/>
  <c r="F733" i="5"/>
  <c r="E733" i="5"/>
  <c r="G732" i="5"/>
  <c r="F732" i="5"/>
  <c r="E732" i="5"/>
  <c r="G731" i="5"/>
  <c r="F731" i="5"/>
  <c r="E731" i="5"/>
  <c r="G730" i="5"/>
  <c r="F730" i="5"/>
  <c r="E730" i="5"/>
  <c r="G729" i="5"/>
  <c r="F729" i="5"/>
  <c r="E729" i="5"/>
  <c r="G728" i="5"/>
  <c r="F728" i="5"/>
  <c r="E728" i="5"/>
  <c r="G727" i="5"/>
  <c r="F727" i="5"/>
  <c r="E727" i="5"/>
  <c r="G726" i="5"/>
  <c r="F726" i="5"/>
  <c r="E726" i="5"/>
  <c r="G725" i="5"/>
  <c r="F725" i="5"/>
  <c r="E725" i="5"/>
  <c r="G724" i="5"/>
  <c r="F724" i="5"/>
  <c r="E724" i="5"/>
  <c r="G723" i="5"/>
  <c r="F723" i="5"/>
  <c r="E723" i="5"/>
  <c r="G722" i="5"/>
  <c r="F722" i="5"/>
  <c r="E722" i="5"/>
  <c r="G721" i="5"/>
  <c r="F721" i="5"/>
  <c r="E721" i="5"/>
  <c r="G720" i="5"/>
  <c r="F720" i="5"/>
  <c r="E720" i="5"/>
  <c r="G719" i="5"/>
  <c r="F719" i="5"/>
  <c r="E719" i="5"/>
  <c r="G718" i="5"/>
  <c r="F718" i="5"/>
  <c r="E718" i="5"/>
  <c r="G717" i="5"/>
  <c r="F717" i="5"/>
  <c r="E717" i="5"/>
  <c r="G716" i="5"/>
  <c r="F716" i="5"/>
  <c r="E716" i="5"/>
  <c r="G715" i="5"/>
  <c r="F715" i="5"/>
  <c r="E715" i="5"/>
  <c r="G714" i="5"/>
  <c r="F714" i="5"/>
  <c r="E714" i="5"/>
  <c r="G713" i="5"/>
  <c r="F713" i="5"/>
  <c r="E713" i="5"/>
  <c r="G712" i="5"/>
  <c r="F712" i="5"/>
  <c r="E712" i="5"/>
  <c r="G711" i="5"/>
  <c r="F711" i="5"/>
  <c r="E711" i="5"/>
  <c r="G710" i="5"/>
  <c r="F710" i="5"/>
  <c r="E710" i="5"/>
  <c r="G709" i="5"/>
  <c r="F709" i="5"/>
  <c r="E709" i="5"/>
  <c r="G708" i="5"/>
  <c r="F708" i="5"/>
  <c r="E708" i="5"/>
  <c r="G707" i="5"/>
  <c r="F707" i="5"/>
  <c r="E707" i="5"/>
  <c r="G706" i="5"/>
  <c r="F706" i="5"/>
  <c r="E706" i="5"/>
  <c r="G705" i="5"/>
  <c r="F705" i="5"/>
  <c r="E705" i="5"/>
  <c r="G704" i="5"/>
  <c r="F704" i="5"/>
  <c r="E704" i="5"/>
  <c r="G703" i="5"/>
  <c r="F703" i="5"/>
  <c r="E703" i="5"/>
  <c r="G702" i="5"/>
  <c r="F702" i="5"/>
  <c r="E702" i="5"/>
  <c r="G701" i="5"/>
  <c r="F701" i="5"/>
  <c r="E701" i="5"/>
  <c r="G700" i="5"/>
  <c r="F700" i="5"/>
  <c r="E700" i="5"/>
  <c r="G699" i="5"/>
  <c r="F699" i="5"/>
  <c r="E699" i="5"/>
  <c r="G698" i="5"/>
  <c r="F698" i="5"/>
  <c r="E698" i="5"/>
  <c r="G697" i="5"/>
  <c r="F697" i="5"/>
  <c r="E697" i="5"/>
  <c r="G696" i="5"/>
  <c r="F696" i="5"/>
  <c r="E696" i="5"/>
  <c r="G695" i="5"/>
  <c r="F695" i="5"/>
  <c r="E695" i="5"/>
  <c r="G694" i="5"/>
  <c r="F694" i="5"/>
  <c r="E694" i="5"/>
  <c r="G693" i="5"/>
  <c r="F693" i="5"/>
  <c r="E693" i="5"/>
  <c r="G692" i="5"/>
  <c r="F692" i="5"/>
  <c r="E692" i="5"/>
  <c r="G691" i="5"/>
  <c r="F691" i="5"/>
  <c r="E691" i="5"/>
  <c r="G690" i="5"/>
  <c r="F690" i="5"/>
  <c r="E690" i="5"/>
  <c r="G689" i="5"/>
  <c r="F689" i="5"/>
  <c r="E689" i="5"/>
  <c r="G688" i="5"/>
  <c r="F688" i="5"/>
  <c r="E688" i="5"/>
  <c r="G687" i="5"/>
  <c r="F687" i="5"/>
  <c r="E687" i="5"/>
  <c r="G686" i="5"/>
  <c r="F686" i="5"/>
  <c r="E686" i="5"/>
  <c r="G685" i="5"/>
  <c r="F685" i="5"/>
  <c r="E685" i="5"/>
  <c r="G684" i="5"/>
  <c r="F684" i="5"/>
  <c r="E684" i="5"/>
  <c r="G683" i="5"/>
  <c r="F683" i="5"/>
  <c r="E683" i="5"/>
  <c r="G682" i="5"/>
  <c r="F682" i="5"/>
  <c r="E682" i="5"/>
  <c r="G681" i="5"/>
  <c r="F681" i="5"/>
  <c r="E681" i="5"/>
  <c r="G680" i="5"/>
  <c r="F680" i="5"/>
  <c r="E680" i="5"/>
  <c r="G679" i="5"/>
  <c r="F679" i="5"/>
  <c r="E679" i="5"/>
  <c r="G678" i="5"/>
  <c r="F678" i="5"/>
  <c r="E678" i="5"/>
  <c r="G677" i="5"/>
  <c r="F677" i="5"/>
  <c r="E677" i="5"/>
  <c r="G676" i="5"/>
  <c r="F676" i="5"/>
  <c r="E676" i="5"/>
  <c r="G675" i="5"/>
  <c r="F675" i="5"/>
  <c r="E675" i="5"/>
  <c r="G674" i="5"/>
  <c r="F674" i="5"/>
  <c r="E674" i="5"/>
  <c r="G673" i="5"/>
  <c r="F673" i="5"/>
  <c r="E673" i="5"/>
  <c r="G672" i="5"/>
  <c r="F672" i="5"/>
  <c r="E672" i="5"/>
  <c r="G671" i="5"/>
  <c r="F671" i="5"/>
  <c r="E671" i="5"/>
  <c r="G670" i="5"/>
  <c r="F670" i="5"/>
  <c r="E670" i="5"/>
  <c r="G669" i="5"/>
  <c r="F669" i="5"/>
  <c r="E669" i="5"/>
  <c r="G668" i="5"/>
  <c r="F668" i="5"/>
  <c r="E668" i="5"/>
  <c r="G667" i="5"/>
  <c r="F667" i="5"/>
  <c r="E667" i="5"/>
  <c r="G666" i="5"/>
  <c r="F666" i="5"/>
  <c r="E666" i="5"/>
  <c r="G665" i="5"/>
  <c r="F665" i="5"/>
  <c r="E665" i="5"/>
  <c r="G664" i="5"/>
  <c r="F664" i="5"/>
  <c r="E664" i="5"/>
  <c r="G663" i="5"/>
  <c r="F663" i="5"/>
  <c r="E663" i="5"/>
  <c r="G662" i="5"/>
  <c r="F662" i="5"/>
  <c r="E662" i="5"/>
  <c r="G661" i="5"/>
  <c r="F661" i="5"/>
  <c r="E661" i="5"/>
  <c r="G660" i="5"/>
  <c r="F660" i="5"/>
  <c r="E660" i="5"/>
  <c r="G659" i="5"/>
  <c r="F659" i="5"/>
  <c r="E659" i="5"/>
  <c r="G658" i="5"/>
  <c r="F658" i="5"/>
  <c r="E658" i="5"/>
  <c r="G657" i="5"/>
  <c r="F657" i="5"/>
  <c r="E657" i="5"/>
  <c r="G656" i="5"/>
  <c r="F656" i="5"/>
  <c r="E656" i="5"/>
  <c r="G655" i="5"/>
  <c r="F655" i="5"/>
  <c r="E655" i="5"/>
  <c r="G654" i="5"/>
  <c r="F654" i="5"/>
  <c r="E654" i="5"/>
  <c r="G653" i="5"/>
  <c r="F653" i="5"/>
  <c r="E653" i="5"/>
  <c r="G652" i="5"/>
  <c r="F652" i="5"/>
  <c r="E652" i="5"/>
  <c r="G651" i="5"/>
  <c r="F651" i="5"/>
  <c r="E651" i="5"/>
  <c r="G650" i="5"/>
  <c r="F650" i="5"/>
  <c r="E650" i="5"/>
  <c r="G649" i="5"/>
  <c r="F649" i="5"/>
  <c r="E649" i="5"/>
  <c r="G648" i="5"/>
  <c r="F648" i="5"/>
  <c r="E648" i="5"/>
  <c r="G647" i="5"/>
  <c r="F647" i="5"/>
  <c r="E647" i="5"/>
  <c r="G646" i="5"/>
  <c r="F646" i="5"/>
  <c r="E646" i="5"/>
  <c r="G645" i="5"/>
  <c r="F645" i="5"/>
  <c r="E645" i="5"/>
  <c r="G644" i="5"/>
  <c r="F644" i="5"/>
  <c r="E644" i="5"/>
  <c r="G643" i="5"/>
  <c r="F643" i="5"/>
  <c r="E643" i="5"/>
  <c r="G642" i="5"/>
  <c r="F642" i="5"/>
  <c r="E642" i="5"/>
  <c r="G641" i="5"/>
  <c r="F641" i="5"/>
  <c r="E641" i="5"/>
  <c r="G640" i="5"/>
  <c r="F640" i="5"/>
  <c r="E640" i="5"/>
  <c r="G639" i="5"/>
  <c r="F639" i="5"/>
  <c r="E639" i="5"/>
  <c r="G638" i="5"/>
  <c r="F638" i="5"/>
  <c r="E638" i="5"/>
  <c r="G637" i="5"/>
  <c r="F637" i="5"/>
  <c r="E637" i="5"/>
  <c r="G636" i="5"/>
  <c r="F636" i="5"/>
  <c r="E636" i="5"/>
  <c r="G635" i="5"/>
  <c r="F635" i="5"/>
  <c r="E635" i="5"/>
  <c r="G634" i="5"/>
  <c r="F634" i="5"/>
  <c r="E634" i="5"/>
  <c r="G633" i="5"/>
  <c r="F633" i="5"/>
  <c r="E633" i="5"/>
  <c r="G632" i="5"/>
  <c r="F632" i="5"/>
  <c r="E632" i="5"/>
  <c r="G631" i="5"/>
  <c r="F631" i="5"/>
  <c r="E631" i="5"/>
  <c r="G630" i="5"/>
  <c r="F630" i="5"/>
  <c r="E630" i="5"/>
  <c r="G629" i="5"/>
  <c r="F629" i="5"/>
  <c r="E629" i="5"/>
  <c r="G628" i="5"/>
  <c r="F628" i="5"/>
  <c r="E628" i="5"/>
  <c r="G627" i="5"/>
  <c r="F627" i="5"/>
  <c r="E627" i="5"/>
  <c r="G626" i="5"/>
  <c r="F626" i="5"/>
  <c r="E626" i="5"/>
  <c r="G625" i="5"/>
  <c r="F625" i="5"/>
  <c r="E625" i="5"/>
  <c r="G624" i="5"/>
  <c r="F624" i="5"/>
  <c r="E624" i="5"/>
  <c r="G623" i="5"/>
  <c r="F623" i="5"/>
  <c r="E623" i="5"/>
  <c r="G622" i="5"/>
  <c r="F622" i="5"/>
  <c r="E622" i="5"/>
  <c r="G621" i="5"/>
  <c r="F621" i="5"/>
  <c r="E621" i="5"/>
  <c r="G620" i="5"/>
  <c r="F620" i="5"/>
  <c r="E620" i="5"/>
  <c r="G619" i="5"/>
  <c r="F619" i="5"/>
  <c r="E619" i="5"/>
  <c r="G618" i="5"/>
  <c r="F618" i="5"/>
  <c r="E618" i="5"/>
  <c r="G617" i="5"/>
  <c r="F617" i="5"/>
  <c r="E617" i="5"/>
  <c r="G616" i="5"/>
  <c r="F616" i="5"/>
  <c r="E616" i="5"/>
  <c r="G615" i="5"/>
  <c r="F615" i="5"/>
  <c r="E615" i="5"/>
  <c r="G614" i="5"/>
  <c r="F614" i="5"/>
  <c r="E614" i="5"/>
  <c r="G613" i="5"/>
  <c r="F613" i="5"/>
  <c r="E613" i="5"/>
  <c r="G612" i="5"/>
  <c r="F612" i="5"/>
  <c r="E612" i="5"/>
  <c r="G611" i="5"/>
  <c r="F611" i="5"/>
  <c r="E611" i="5"/>
  <c r="G610" i="5"/>
  <c r="F610" i="5"/>
  <c r="E610" i="5"/>
  <c r="G609" i="5"/>
  <c r="F609" i="5"/>
  <c r="E609" i="5"/>
  <c r="G608" i="5"/>
  <c r="F608" i="5"/>
  <c r="E608" i="5"/>
  <c r="G607" i="5"/>
  <c r="F607" i="5"/>
  <c r="E607" i="5"/>
  <c r="G606" i="5"/>
  <c r="F606" i="5"/>
  <c r="E606" i="5"/>
  <c r="G605" i="5"/>
  <c r="F605" i="5"/>
  <c r="E605" i="5"/>
  <c r="G604" i="5"/>
  <c r="F604" i="5"/>
  <c r="E604" i="5"/>
  <c r="G603" i="5"/>
  <c r="F603" i="5"/>
  <c r="E603" i="5"/>
  <c r="G602" i="5"/>
  <c r="F602" i="5"/>
  <c r="E602" i="5"/>
  <c r="G601" i="5"/>
  <c r="F601" i="5"/>
  <c r="E601" i="5"/>
  <c r="G600" i="5"/>
  <c r="F600" i="5"/>
  <c r="E600" i="5"/>
  <c r="G599" i="5"/>
  <c r="F599" i="5"/>
  <c r="E599" i="5"/>
  <c r="G598" i="5"/>
  <c r="F598" i="5"/>
  <c r="E598" i="5"/>
  <c r="G597" i="5"/>
  <c r="F597" i="5"/>
  <c r="E597" i="5"/>
  <c r="G596" i="5"/>
  <c r="F596" i="5"/>
  <c r="E596" i="5"/>
  <c r="G595" i="5"/>
  <c r="F595" i="5"/>
  <c r="E595" i="5"/>
  <c r="G594" i="5"/>
  <c r="F594" i="5"/>
  <c r="E594" i="5"/>
  <c r="G593" i="5"/>
  <c r="F593" i="5"/>
  <c r="E593" i="5"/>
  <c r="G592" i="5"/>
  <c r="F592" i="5"/>
  <c r="E592" i="5"/>
  <c r="G591" i="5"/>
  <c r="F591" i="5"/>
  <c r="E591" i="5"/>
  <c r="G590" i="5"/>
  <c r="F590" i="5"/>
  <c r="E590" i="5"/>
  <c r="G589" i="5"/>
  <c r="F589" i="5"/>
  <c r="E589" i="5"/>
  <c r="G588" i="5"/>
  <c r="F588" i="5"/>
  <c r="E588" i="5"/>
  <c r="G587" i="5"/>
  <c r="F587" i="5"/>
  <c r="E587" i="5"/>
  <c r="G586" i="5"/>
  <c r="F586" i="5"/>
  <c r="E586" i="5"/>
  <c r="G585" i="5"/>
  <c r="F585" i="5"/>
  <c r="E585" i="5"/>
  <c r="G584" i="5"/>
  <c r="F584" i="5"/>
  <c r="E584" i="5"/>
  <c r="G583" i="5"/>
  <c r="F583" i="5"/>
  <c r="E583" i="5"/>
  <c r="G582" i="5"/>
  <c r="F582" i="5"/>
  <c r="E582" i="5"/>
  <c r="G581" i="5"/>
  <c r="F581" i="5"/>
  <c r="E581" i="5"/>
  <c r="G580" i="5"/>
  <c r="F580" i="5"/>
  <c r="E580" i="5"/>
  <c r="G579" i="5"/>
  <c r="F579" i="5"/>
  <c r="E579" i="5"/>
  <c r="G578" i="5"/>
  <c r="F578" i="5"/>
  <c r="E578" i="5"/>
  <c r="G577" i="5"/>
  <c r="F577" i="5"/>
  <c r="E577" i="5"/>
  <c r="G576" i="5"/>
  <c r="F576" i="5"/>
  <c r="E576" i="5"/>
  <c r="G575" i="5"/>
  <c r="F575" i="5"/>
  <c r="E575" i="5"/>
  <c r="G574" i="5"/>
  <c r="F574" i="5"/>
  <c r="E574" i="5"/>
  <c r="G573" i="5"/>
  <c r="F573" i="5"/>
  <c r="E573" i="5"/>
  <c r="G572" i="5"/>
  <c r="F572" i="5"/>
  <c r="E572" i="5"/>
  <c r="G571" i="5"/>
  <c r="F571" i="5"/>
  <c r="E571" i="5"/>
  <c r="G570" i="5"/>
  <c r="F570" i="5"/>
  <c r="E570" i="5"/>
  <c r="G569" i="5"/>
  <c r="F569" i="5"/>
  <c r="E569" i="5"/>
  <c r="G568" i="5"/>
  <c r="F568" i="5"/>
  <c r="E568" i="5"/>
  <c r="G567" i="5"/>
  <c r="F567" i="5"/>
  <c r="E567" i="5"/>
  <c r="G566" i="5"/>
  <c r="F566" i="5"/>
  <c r="E566" i="5"/>
  <c r="G565" i="5"/>
  <c r="F565" i="5"/>
  <c r="E565" i="5"/>
  <c r="G564" i="5"/>
  <c r="F564" i="5"/>
  <c r="E564" i="5"/>
  <c r="G563" i="5"/>
  <c r="F563" i="5"/>
  <c r="E563" i="5"/>
  <c r="G562" i="5"/>
  <c r="F562" i="5"/>
  <c r="E562" i="5"/>
  <c r="G561" i="5"/>
  <c r="F561" i="5"/>
  <c r="E561" i="5"/>
  <c r="G560" i="5"/>
  <c r="F560" i="5"/>
  <c r="E560" i="5"/>
  <c r="G559" i="5"/>
  <c r="F559" i="5"/>
  <c r="E559" i="5"/>
  <c r="G558" i="5"/>
  <c r="F558" i="5"/>
  <c r="E558" i="5"/>
  <c r="G557" i="5"/>
  <c r="F557" i="5"/>
  <c r="E557" i="5"/>
  <c r="G556" i="5"/>
  <c r="F556" i="5"/>
  <c r="E556" i="5"/>
  <c r="G555" i="5"/>
  <c r="F555" i="5"/>
  <c r="E555" i="5"/>
  <c r="G554" i="5"/>
  <c r="F554" i="5"/>
  <c r="E554" i="5"/>
  <c r="G553" i="5"/>
  <c r="F553" i="5"/>
  <c r="E553" i="5"/>
  <c r="G552" i="5"/>
  <c r="F552" i="5"/>
  <c r="E552" i="5"/>
  <c r="G551" i="5"/>
  <c r="F551" i="5"/>
  <c r="E551" i="5"/>
  <c r="G550" i="5"/>
  <c r="F550" i="5"/>
  <c r="E550" i="5"/>
  <c r="G549" i="5"/>
  <c r="F549" i="5"/>
  <c r="E549" i="5"/>
  <c r="G548" i="5"/>
  <c r="F548" i="5"/>
  <c r="E548" i="5"/>
  <c r="G547" i="5"/>
  <c r="F547" i="5"/>
  <c r="E547" i="5"/>
  <c r="G546" i="5"/>
  <c r="F546" i="5"/>
  <c r="E546" i="5"/>
  <c r="G545" i="5"/>
  <c r="F545" i="5"/>
  <c r="E545" i="5"/>
  <c r="G544" i="5"/>
  <c r="F544" i="5"/>
  <c r="E544" i="5"/>
  <c r="G543" i="5"/>
  <c r="F543" i="5"/>
  <c r="E543" i="5"/>
  <c r="G542" i="5"/>
  <c r="F542" i="5"/>
  <c r="E542" i="5"/>
  <c r="G541" i="5"/>
  <c r="F541" i="5"/>
  <c r="E541" i="5"/>
  <c r="G540" i="5"/>
  <c r="F540" i="5"/>
  <c r="E540" i="5"/>
  <c r="G539" i="5"/>
  <c r="F539" i="5"/>
  <c r="E539" i="5"/>
  <c r="G538" i="5"/>
  <c r="F538" i="5"/>
  <c r="E538" i="5"/>
  <c r="G537" i="5"/>
  <c r="F537" i="5"/>
  <c r="E537" i="5"/>
  <c r="G536" i="5"/>
  <c r="F536" i="5"/>
  <c r="E536" i="5"/>
  <c r="G535" i="5"/>
  <c r="F535" i="5"/>
  <c r="E535" i="5"/>
  <c r="G534" i="5"/>
  <c r="F534" i="5"/>
  <c r="E534" i="5"/>
  <c r="G533" i="5"/>
  <c r="F533" i="5"/>
  <c r="E533" i="5"/>
  <c r="G532" i="5"/>
  <c r="F532" i="5"/>
  <c r="E532" i="5"/>
  <c r="G531" i="5"/>
  <c r="F531" i="5"/>
  <c r="E531" i="5"/>
  <c r="G530" i="5"/>
  <c r="F530" i="5"/>
  <c r="E530" i="5"/>
  <c r="G529" i="5"/>
  <c r="F529" i="5"/>
  <c r="E529" i="5"/>
  <c r="G528" i="5"/>
  <c r="F528" i="5"/>
  <c r="E528" i="5"/>
  <c r="G527" i="5"/>
  <c r="F527" i="5"/>
  <c r="E527" i="5"/>
  <c r="G526" i="5"/>
  <c r="F526" i="5"/>
  <c r="E526" i="5"/>
  <c r="G525" i="5"/>
  <c r="F525" i="5"/>
  <c r="E525" i="5"/>
  <c r="G524" i="5"/>
  <c r="F524" i="5"/>
  <c r="E524" i="5"/>
  <c r="G523" i="5"/>
  <c r="F523" i="5"/>
  <c r="E523" i="5"/>
  <c r="G522" i="5"/>
  <c r="F522" i="5"/>
  <c r="E522" i="5"/>
  <c r="G521" i="5"/>
  <c r="F521" i="5"/>
  <c r="E521" i="5"/>
  <c r="G520" i="5"/>
  <c r="F520" i="5"/>
  <c r="E520" i="5"/>
  <c r="G519" i="5"/>
  <c r="F519" i="5"/>
  <c r="E519" i="5"/>
  <c r="G518" i="5"/>
  <c r="F518" i="5"/>
  <c r="E518" i="5"/>
  <c r="G517" i="5"/>
  <c r="F517" i="5"/>
  <c r="E517" i="5"/>
  <c r="G516" i="5"/>
  <c r="F516" i="5"/>
  <c r="E516" i="5"/>
  <c r="G515" i="5"/>
  <c r="F515" i="5"/>
  <c r="E515" i="5"/>
  <c r="G514" i="5"/>
  <c r="F514" i="5"/>
  <c r="E514" i="5"/>
  <c r="G513" i="5"/>
  <c r="F513" i="5"/>
  <c r="E513" i="5"/>
  <c r="G512" i="5"/>
  <c r="F512" i="5"/>
  <c r="E512" i="5"/>
  <c r="G511" i="5"/>
  <c r="F511" i="5"/>
  <c r="E511" i="5"/>
  <c r="G510" i="5"/>
  <c r="F510" i="5"/>
  <c r="E510" i="5"/>
  <c r="G509" i="5"/>
  <c r="F509" i="5"/>
  <c r="E509" i="5"/>
  <c r="G508" i="5"/>
  <c r="F508" i="5"/>
  <c r="E508" i="5"/>
  <c r="G507" i="5"/>
  <c r="F507" i="5"/>
  <c r="E507" i="5"/>
  <c r="G506" i="5"/>
  <c r="F506" i="5"/>
  <c r="E506" i="5"/>
  <c r="G505" i="5"/>
  <c r="F505" i="5"/>
  <c r="E505" i="5"/>
  <c r="G504" i="5"/>
  <c r="F504" i="5"/>
  <c r="E504" i="5"/>
  <c r="G503" i="5"/>
  <c r="F503" i="5"/>
  <c r="E503" i="5"/>
  <c r="G502" i="5"/>
  <c r="F502" i="5"/>
  <c r="E502" i="5"/>
  <c r="G501" i="5"/>
  <c r="F501" i="5"/>
  <c r="E501" i="5"/>
  <c r="G500" i="5"/>
  <c r="F500" i="5"/>
  <c r="E500" i="5"/>
  <c r="G499" i="5"/>
  <c r="F499" i="5"/>
  <c r="E499" i="5"/>
  <c r="G498" i="5"/>
  <c r="F498" i="5"/>
  <c r="E498" i="5"/>
  <c r="G497" i="5"/>
  <c r="F497" i="5"/>
  <c r="E497" i="5"/>
  <c r="G496" i="5"/>
  <c r="F496" i="5"/>
  <c r="E496" i="5"/>
  <c r="G495" i="5"/>
  <c r="F495" i="5"/>
  <c r="E495" i="5"/>
  <c r="G494" i="5"/>
  <c r="F494" i="5"/>
  <c r="E494" i="5"/>
  <c r="G493" i="5"/>
  <c r="F493" i="5"/>
  <c r="E493" i="5"/>
  <c r="G492" i="5"/>
  <c r="F492" i="5"/>
  <c r="E492" i="5"/>
  <c r="G491" i="5"/>
  <c r="F491" i="5"/>
  <c r="E491" i="5"/>
  <c r="G490" i="5"/>
  <c r="F490" i="5"/>
  <c r="E490" i="5"/>
  <c r="G489" i="5"/>
  <c r="F489" i="5"/>
  <c r="E489" i="5"/>
  <c r="G488" i="5"/>
  <c r="F488" i="5"/>
  <c r="E488" i="5"/>
  <c r="G487" i="5"/>
  <c r="F487" i="5"/>
  <c r="E487" i="5"/>
  <c r="G486" i="5"/>
  <c r="F486" i="5"/>
  <c r="E486" i="5"/>
  <c r="G485" i="5"/>
  <c r="F485" i="5"/>
  <c r="E485" i="5"/>
  <c r="G484" i="5"/>
  <c r="F484" i="5"/>
  <c r="E484" i="5"/>
  <c r="G483" i="5"/>
  <c r="F483" i="5"/>
  <c r="E483" i="5"/>
  <c r="G482" i="5"/>
  <c r="F482" i="5"/>
  <c r="E482" i="5"/>
  <c r="G481" i="5"/>
  <c r="F481" i="5"/>
  <c r="E481" i="5"/>
  <c r="G480" i="5"/>
  <c r="F480" i="5"/>
  <c r="E480" i="5"/>
  <c r="G479" i="5"/>
  <c r="F479" i="5"/>
  <c r="E479" i="5"/>
  <c r="G478" i="5"/>
  <c r="F478" i="5"/>
  <c r="E478" i="5"/>
  <c r="G477" i="5"/>
  <c r="F477" i="5"/>
  <c r="E477" i="5"/>
  <c r="G476" i="5"/>
  <c r="F476" i="5"/>
  <c r="E476" i="5"/>
  <c r="G475" i="5"/>
  <c r="F475" i="5"/>
  <c r="E475" i="5"/>
  <c r="G474" i="5"/>
  <c r="F474" i="5"/>
  <c r="E474" i="5"/>
  <c r="G473" i="5"/>
  <c r="F473" i="5"/>
  <c r="E473" i="5"/>
  <c r="G472" i="5"/>
  <c r="F472" i="5"/>
  <c r="E472" i="5"/>
  <c r="G471" i="5"/>
  <c r="F471" i="5"/>
  <c r="E471" i="5"/>
  <c r="G470" i="5"/>
  <c r="F470" i="5"/>
  <c r="E470" i="5"/>
  <c r="G469" i="5"/>
  <c r="F469" i="5"/>
  <c r="E469" i="5"/>
  <c r="G468" i="5"/>
  <c r="F468" i="5"/>
  <c r="E468" i="5"/>
  <c r="G467" i="5"/>
  <c r="F467" i="5"/>
  <c r="E467" i="5"/>
  <c r="G466" i="5"/>
  <c r="F466" i="5"/>
  <c r="E466" i="5"/>
  <c r="G465" i="5"/>
  <c r="F465" i="5"/>
  <c r="E465" i="5"/>
  <c r="G464" i="5"/>
  <c r="F464" i="5"/>
  <c r="E464" i="5"/>
  <c r="G463" i="5"/>
  <c r="F463" i="5"/>
  <c r="E463" i="5"/>
  <c r="G462" i="5"/>
  <c r="F462" i="5"/>
  <c r="E462" i="5"/>
  <c r="G461" i="5"/>
  <c r="F461" i="5"/>
  <c r="E461" i="5"/>
  <c r="G460" i="5"/>
  <c r="F460" i="5"/>
  <c r="E460" i="5"/>
  <c r="G459" i="5"/>
  <c r="F459" i="5"/>
  <c r="E459" i="5"/>
  <c r="G458" i="5"/>
  <c r="F458" i="5"/>
  <c r="E458" i="5"/>
  <c r="G457" i="5"/>
  <c r="F457" i="5"/>
  <c r="E457" i="5"/>
  <c r="G456" i="5"/>
  <c r="F456" i="5"/>
  <c r="E456" i="5"/>
  <c r="G455" i="5"/>
  <c r="F455" i="5"/>
  <c r="E455" i="5"/>
  <c r="G454" i="5"/>
  <c r="F454" i="5"/>
  <c r="E454" i="5"/>
  <c r="G453" i="5"/>
  <c r="F453" i="5"/>
  <c r="E453" i="5"/>
  <c r="G452" i="5"/>
  <c r="F452" i="5"/>
  <c r="E452" i="5"/>
  <c r="G451" i="5"/>
  <c r="F451" i="5"/>
  <c r="E451" i="5"/>
  <c r="G450" i="5"/>
  <c r="F450" i="5"/>
  <c r="E450" i="5"/>
  <c r="G449" i="5"/>
  <c r="F449" i="5"/>
  <c r="E449" i="5"/>
  <c r="G448" i="5"/>
  <c r="F448" i="5"/>
  <c r="E448" i="5"/>
  <c r="G447" i="5"/>
  <c r="F447" i="5"/>
  <c r="E447" i="5"/>
  <c r="G446" i="5"/>
  <c r="F446" i="5"/>
  <c r="E446" i="5"/>
  <c r="G445" i="5"/>
  <c r="F445" i="5"/>
  <c r="E445" i="5"/>
  <c r="G444" i="5"/>
  <c r="F444" i="5"/>
  <c r="E444" i="5"/>
  <c r="G443" i="5"/>
  <c r="F443" i="5"/>
  <c r="E443" i="5"/>
  <c r="G442" i="5"/>
  <c r="F442" i="5"/>
  <c r="E442" i="5"/>
  <c r="G441" i="5"/>
  <c r="F441" i="5"/>
  <c r="E441" i="5"/>
  <c r="G440" i="5"/>
  <c r="F440" i="5"/>
  <c r="E440" i="5"/>
  <c r="G439" i="5"/>
  <c r="F439" i="5"/>
  <c r="E439" i="5"/>
  <c r="G438" i="5"/>
  <c r="F438" i="5"/>
  <c r="E438" i="5"/>
  <c r="G437" i="5"/>
  <c r="F437" i="5"/>
  <c r="E437" i="5"/>
  <c r="G436" i="5"/>
  <c r="F436" i="5"/>
  <c r="E436" i="5"/>
  <c r="G435" i="5"/>
  <c r="F435" i="5"/>
  <c r="E435" i="5"/>
  <c r="G434" i="5"/>
  <c r="F434" i="5"/>
  <c r="E434" i="5"/>
  <c r="G433" i="5"/>
  <c r="F433" i="5"/>
  <c r="E433" i="5"/>
  <c r="G432" i="5"/>
  <c r="F432" i="5"/>
  <c r="E432" i="5"/>
  <c r="G431" i="5"/>
  <c r="F431" i="5"/>
  <c r="E431" i="5"/>
  <c r="G430" i="5"/>
  <c r="F430" i="5"/>
  <c r="E430" i="5"/>
  <c r="G429" i="5"/>
  <c r="F429" i="5"/>
  <c r="E429" i="5"/>
  <c r="G428" i="5"/>
  <c r="F428" i="5"/>
  <c r="E428" i="5"/>
  <c r="G427" i="5"/>
  <c r="F427" i="5"/>
  <c r="E427" i="5"/>
  <c r="G426" i="5"/>
  <c r="F426" i="5"/>
  <c r="E426" i="5"/>
  <c r="G425" i="5"/>
  <c r="F425" i="5"/>
  <c r="E425" i="5"/>
  <c r="G424" i="5"/>
  <c r="F424" i="5"/>
  <c r="E424" i="5"/>
  <c r="G423" i="5"/>
  <c r="F423" i="5"/>
  <c r="E423" i="5"/>
  <c r="G422" i="5"/>
  <c r="F422" i="5"/>
  <c r="E422" i="5"/>
  <c r="G421" i="5"/>
  <c r="F421" i="5"/>
  <c r="E421" i="5"/>
  <c r="G420" i="5"/>
  <c r="F420" i="5"/>
  <c r="E420" i="5"/>
  <c r="G419" i="5"/>
  <c r="F419" i="5"/>
  <c r="E419" i="5"/>
  <c r="G418" i="5"/>
  <c r="F418" i="5"/>
  <c r="E418" i="5"/>
  <c r="G417" i="5"/>
  <c r="F417" i="5"/>
  <c r="E417" i="5"/>
  <c r="G416" i="5"/>
  <c r="F416" i="5"/>
  <c r="E416" i="5"/>
  <c r="G415" i="5"/>
  <c r="F415" i="5"/>
  <c r="E415" i="5"/>
  <c r="G414" i="5"/>
  <c r="F414" i="5"/>
  <c r="E414" i="5"/>
  <c r="G413" i="5"/>
  <c r="F413" i="5"/>
  <c r="E413" i="5"/>
  <c r="G412" i="5"/>
  <c r="F412" i="5"/>
  <c r="E412" i="5"/>
  <c r="G411" i="5"/>
  <c r="F411" i="5"/>
  <c r="E411" i="5"/>
  <c r="G410" i="5"/>
  <c r="F410" i="5"/>
  <c r="E410" i="5"/>
  <c r="G409" i="5"/>
  <c r="F409" i="5"/>
  <c r="E409" i="5"/>
  <c r="G408" i="5"/>
  <c r="F408" i="5"/>
  <c r="E408" i="5"/>
  <c r="G407" i="5"/>
  <c r="F407" i="5"/>
  <c r="E407" i="5"/>
  <c r="G406" i="5"/>
  <c r="F406" i="5"/>
  <c r="E406" i="5"/>
  <c r="G405" i="5"/>
  <c r="F405" i="5"/>
  <c r="E405" i="5"/>
  <c r="G404" i="5"/>
  <c r="F404" i="5"/>
  <c r="E404" i="5"/>
  <c r="G403" i="5"/>
  <c r="F403" i="5"/>
  <c r="E403" i="5"/>
  <c r="G402" i="5"/>
  <c r="F402" i="5"/>
  <c r="E402" i="5"/>
  <c r="G401" i="5"/>
  <c r="F401" i="5"/>
  <c r="E401" i="5"/>
  <c r="G400" i="5"/>
  <c r="F400" i="5"/>
  <c r="E400" i="5"/>
  <c r="G399" i="5"/>
  <c r="F399" i="5"/>
  <c r="E399" i="5"/>
  <c r="G398" i="5"/>
  <c r="F398" i="5"/>
  <c r="E398" i="5"/>
  <c r="G397" i="5"/>
  <c r="F397" i="5"/>
  <c r="E397" i="5"/>
  <c r="G396" i="5"/>
  <c r="F396" i="5"/>
  <c r="E396" i="5"/>
  <c r="G395" i="5"/>
  <c r="F395" i="5"/>
  <c r="E395" i="5"/>
  <c r="G394" i="5"/>
  <c r="F394" i="5"/>
  <c r="E394" i="5"/>
  <c r="G393" i="5"/>
  <c r="F393" i="5"/>
  <c r="E393" i="5"/>
  <c r="G392" i="5"/>
  <c r="F392" i="5"/>
  <c r="E392" i="5"/>
  <c r="G391" i="5"/>
  <c r="F391" i="5"/>
  <c r="E391" i="5"/>
  <c r="G390" i="5"/>
  <c r="F390" i="5"/>
  <c r="E390" i="5"/>
  <c r="G389" i="5"/>
  <c r="F389" i="5"/>
  <c r="E389" i="5"/>
  <c r="G388" i="5"/>
  <c r="F388" i="5"/>
  <c r="E388" i="5"/>
  <c r="G387" i="5"/>
  <c r="F387" i="5"/>
  <c r="E387" i="5"/>
  <c r="G386" i="5"/>
  <c r="F386" i="5"/>
  <c r="E386" i="5"/>
  <c r="G385" i="5"/>
  <c r="F385" i="5"/>
  <c r="E385" i="5"/>
  <c r="G384" i="5"/>
  <c r="F384" i="5"/>
  <c r="E384" i="5"/>
  <c r="G383" i="5"/>
  <c r="F383" i="5"/>
  <c r="E383" i="5"/>
  <c r="G382" i="5"/>
  <c r="F382" i="5"/>
  <c r="E382" i="5"/>
  <c r="G381" i="5"/>
  <c r="F381" i="5"/>
  <c r="E381" i="5"/>
  <c r="G380" i="5"/>
  <c r="F380" i="5"/>
  <c r="E380" i="5"/>
  <c r="G379" i="5"/>
  <c r="F379" i="5"/>
  <c r="E379" i="5"/>
  <c r="G378" i="5"/>
  <c r="F378" i="5"/>
  <c r="E378" i="5"/>
  <c r="G377" i="5"/>
  <c r="F377" i="5"/>
  <c r="E377" i="5"/>
  <c r="G376" i="5"/>
  <c r="F376" i="5"/>
  <c r="E376" i="5"/>
  <c r="G375" i="5"/>
  <c r="F375" i="5"/>
  <c r="E375" i="5"/>
  <c r="G374" i="5"/>
  <c r="F374" i="5"/>
  <c r="E374" i="5"/>
  <c r="G373" i="5"/>
  <c r="F373" i="5"/>
  <c r="E373" i="5"/>
  <c r="G372" i="5"/>
  <c r="F372" i="5"/>
  <c r="E372" i="5"/>
  <c r="G371" i="5"/>
  <c r="F371" i="5"/>
  <c r="E371" i="5"/>
  <c r="G370" i="5"/>
  <c r="F370" i="5"/>
  <c r="E370" i="5"/>
  <c r="G369" i="5"/>
  <c r="F369" i="5"/>
  <c r="E369" i="5"/>
  <c r="G368" i="5"/>
  <c r="F368" i="5"/>
  <c r="E368" i="5"/>
  <c r="G367" i="5"/>
  <c r="F367" i="5"/>
  <c r="E367" i="5"/>
  <c r="G366" i="5"/>
  <c r="F366" i="5"/>
  <c r="E366" i="5"/>
  <c r="G365" i="5"/>
  <c r="F365" i="5"/>
  <c r="E365" i="5"/>
  <c r="G364" i="5"/>
  <c r="F364" i="5"/>
  <c r="E364" i="5"/>
  <c r="G363" i="5"/>
  <c r="F363" i="5"/>
  <c r="E363" i="5"/>
  <c r="G362" i="5"/>
  <c r="F362" i="5"/>
  <c r="E362" i="5"/>
  <c r="G361" i="5"/>
  <c r="F361" i="5"/>
  <c r="E361" i="5"/>
  <c r="G360" i="5"/>
  <c r="F360" i="5"/>
  <c r="E360" i="5"/>
  <c r="G359" i="5"/>
  <c r="F359" i="5"/>
  <c r="E359" i="5"/>
  <c r="G358" i="5"/>
  <c r="F358" i="5"/>
  <c r="E358" i="5"/>
  <c r="G357" i="5"/>
  <c r="F357" i="5"/>
  <c r="E357" i="5"/>
  <c r="G356" i="5"/>
  <c r="F356" i="5"/>
  <c r="E356" i="5"/>
  <c r="G355" i="5"/>
  <c r="F355" i="5"/>
  <c r="E355" i="5"/>
  <c r="G354" i="5"/>
  <c r="F354" i="5"/>
  <c r="E354" i="5"/>
  <c r="G353" i="5"/>
  <c r="F353" i="5"/>
  <c r="E353" i="5"/>
  <c r="G352" i="5"/>
  <c r="F352" i="5"/>
  <c r="E352" i="5"/>
  <c r="G351" i="5"/>
  <c r="F351" i="5"/>
  <c r="E351" i="5"/>
  <c r="G350" i="5"/>
  <c r="F350" i="5"/>
  <c r="E350" i="5"/>
  <c r="G349" i="5"/>
  <c r="F349" i="5"/>
  <c r="E349" i="5"/>
  <c r="G348" i="5"/>
  <c r="F348" i="5"/>
  <c r="E348" i="5"/>
  <c r="G347" i="5"/>
  <c r="F347" i="5"/>
  <c r="E347" i="5"/>
  <c r="G346" i="5"/>
  <c r="F346" i="5"/>
  <c r="E346" i="5"/>
  <c r="G345" i="5"/>
  <c r="F345" i="5"/>
  <c r="E345" i="5"/>
  <c r="G344" i="5"/>
  <c r="F344" i="5"/>
  <c r="E344" i="5"/>
  <c r="G343" i="5"/>
  <c r="F343" i="5"/>
  <c r="E343" i="5"/>
  <c r="G342" i="5"/>
  <c r="F342" i="5"/>
  <c r="E342" i="5"/>
  <c r="G341" i="5"/>
  <c r="F341" i="5"/>
  <c r="E341" i="5"/>
  <c r="G340" i="5"/>
  <c r="F340" i="5"/>
  <c r="E340" i="5"/>
  <c r="G339" i="5"/>
  <c r="F339" i="5"/>
  <c r="E339" i="5"/>
  <c r="G338" i="5"/>
  <c r="F338" i="5"/>
  <c r="E338" i="5"/>
  <c r="G337" i="5"/>
  <c r="F337" i="5"/>
  <c r="E337" i="5"/>
  <c r="G336" i="5"/>
  <c r="F336" i="5"/>
  <c r="E336" i="5"/>
  <c r="G335" i="5"/>
  <c r="F335" i="5"/>
  <c r="E335" i="5"/>
  <c r="G334" i="5"/>
  <c r="F334" i="5"/>
  <c r="E334" i="5"/>
  <c r="G333" i="5"/>
  <c r="F333" i="5"/>
  <c r="E333" i="5"/>
  <c r="G332" i="5"/>
  <c r="F332" i="5"/>
  <c r="E332" i="5"/>
  <c r="G331" i="5"/>
  <c r="F331" i="5"/>
  <c r="E331" i="5"/>
  <c r="G330" i="5"/>
  <c r="F330" i="5"/>
  <c r="E330" i="5"/>
  <c r="G329" i="5"/>
  <c r="F329" i="5"/>
  <c r="E329" i="5"/>
  <c r="G328" i="5"/>
  <c r="F328" i="5"/>
  <c r="E328" i="5"/>
  <c r="G327" i="5"/>
  <c r="F327" i="5"/>
  <c r="E327" i="5"/>
  <c r="G326" i="5"/>
  <c r="F326" i="5"/>
  <c r="E326" i="5"/>
  <c r="G325" i="5"/>
  <c r="F325" i="5"/>
  <c r="E325" i="5"/>
  <c r="G324" i="5"/>
  <c r="F324" i="5"/>
  <c r="E324" i="5"/>
  <c r="G323" i="5"/>
  <c r="F323" i="5"/>
  <c r="E323" i="5"/>
  <c r="G322" i="5"/>
  <c r="F322" i="5"/>
  <c r="E322" i="5"/>
  <c r="G321" i="5"/>
  <c r="F321" i="5"/>
  <c r="E321" i="5"/>
  <c r="G320" i="5"/>
  <c r="F320" i="5"/>
  <c r="E320" i="5"/>
  <c r="G319" i="5"/>
  <c r="F319" i="5"/>
  <c r="E319" i="5"/>
  <c r="G318" i="5"/>
  <c r="F318" i="5"/>
  <c r="E318" i="5"/>
  <c r="G317" i="5"/>
  <c r="F317" i="5"/>
  <c r="E317" i="5"/>
  <c r="G316" i="5"/>
  <c r="F316" i="5"/>
  <c r="E316" i="5"/>
  <c r="G315" i="5"/>
  <c r="F315" i="5"/>
  <c r="E315" i="5"/>
  <c r="G314" i="5"/>
  <c r="F314" i="5"/>
  <c r="E314" i="5"/>
  <c r="G313" i="5"/>
  <c r="F313" i="5"/>
  <c r="E313" i="5"/>
  <c r="G312" i="5"/>
  <c r="F312" i="5"/>
  <c r="E312" i="5"/>
  <c r="G311" i="5"/>
  <c r="F311" i="5"/>
  <c r="E311" i="5"/>
  <c r="G310" i="5"/>
  <c r="F310" i="5"/>
  <c r="E310" i="5"/>
  <c r="G309" i="5"/>
  <c r="F309" i="5"/>
  <c r="E309" i="5"/>
  <c r="G308" i="5"/>
  <c r="F308" i="5"/>
  <c r="E308" i="5"/>
  <c r="G307" i="5"/>
  <c r="F307" i="5"/>
  <c r="E307" i="5"/>
  <c r="G306" i="5"/>
  <c r="F306" i="5"/>
  <c r="E306" i="5"/>
  <c r="G305" i="5"/>
  <c r="F305" i="5"/>
  <c r="E305" i="5"/>
  <c r="G304" i="5"/>
  <c r="F304" i="5"/>
  <c r="E304" i="5"/>
  <c r="G303" i="5"/>
  <c r="F303" i="5"/>
  <c r="E303" i="5"/>
  <c r="G302" i="5"/>
  <c r="F302" i="5"/>
  <c r="E302" i="5"/>
  <c r="G301" i="5"/>
  <c r="F301" i="5"/>
  <c r="E301" i="5"/>
  <c r="G300" i="5"/>
  <c r="F300" i="5"/>
  <c r="E300" i="5"/>
  <c r="G299" i="5"/>
  <c r="F299" i="5"/>
  <c r="E299" i="5"/>
  <c r="G298" i="5"/>
  <c r="F298" i="5"/>
  <c r="E298" i="5"/>
  <c r="G297" i="5"/>
  <c r="F297" i="5"/>
  <c r="E297" i="5"/>
  <c r="G296" i="5"/>
  <c r="F296" i="5"/>
  <c r="E296" i="5"/>
  <c r="G295" i="5"/>
  <c r="F295" i="5"/>
  <c r="E295" i="5"/>
  <c r="G294" i="5"/>
  <c r="F294" i="5"/>
  <c r="E294" i="5"/>
  <c r="G293" i="5"/>
  <c r="F293" i="5"/>
  <c r="E293" i="5"/>
  <c r="G292" i="5"/>
  <c r="F292" i="5"/>
  <c r="E292" i="5"/>
  <c r="G291" i="5"/>
  <c r="F291" i="5"/>
  <c r="E291" i="5"/>
  <c r="G290" i="5"/>
  <c r="F290" i="5"/>
  <c r="E290" i="5"/>
  <c r="G289" i="5"/>
  <c r="F289" i="5"/>
  <c r="E289" i="5"/>
  <c r="G288" i="5"/>
  <c r="F288" i="5"/>
  <c r="E288" i="5"/>
  <c r="G287" i="5"/>
  <c r="F287" i="5"/>
  <c r="E287" i="5"/>
  <c r="G286" i="5"/>
  <c r="F286" i="5"/>
  <c r="E286" i="5"/>
  <c r="G285" i="5"/>
  <c r="F285" i="5"/>
  <c r="E285" i="5"/>
  <c r="G284" i="5"/>
  <c r="F284" i="5"/>
  <c r="E284" i="5"/>
  <c r="G283" i="5"/>
  <c r="F283" i="5"/>
  <c r="E283" i="5"/>
  <c r="G282" i="5"/>
  <c r="F282" i="5"/>
  <c r="E282" i="5"/>
  <c r="G281" i="5"/>
  <c r="F281" i="5"/>
  <c r="E281" i="5"/>
  <c r="G280" i="5"/>
  <c r="F280" i="5"/>
  <c r="E280" i="5"/>
  <c r="G279" i="5"/>
  <c r="F279" i="5"/>
  <c r="E279" i="5"/>
  <c r="G278" i="5"/>
  <c r="F278" i="5"/>
  <c r="E278" i="5"/>
  <c r="G277" i="5"/>
  <c r="F277" i="5"/>
  <c r="E277" i="5"/>
  <c r="G276" i="5"/>
  <c r="F276" i="5"/>
  <c r="E276" i="5"/>
  <c r="G275" i="5"/>
  <c r="F275" i="5"/>
  <c r="E275" i="5"/>
  <c r="G274" i="5"/>
  <c r="F274" i="5"/>
  <c r="E274" i="5"/>
  <c r="G273" i="5"/>
  <c r="F273" i="5"/>
  <c r="E273" i="5"/>
  <c r="G272" i="5"/>
  <c r="F272" i="5"/>
  <c r="E272" i="5"/>
  <c r="G271" i="5"/>
  <c r="F271" i="5"/>
  <c r="E271" i="5"/>
  <c r="G270" i="5"/>
  <c r="F270" i="5"/>
  <c r="E270" i="5"/>
  <c r="G269" i="5"/>
  <c r="F269" i="5"/>
  <c r="E269" i="5"/>
  <c r="G268" i="5"/>
  <c r="F268" i="5"/>
  <c r="E268" i="5"/>
  <c r="G267" i="5"/>
  <c r="F267" i="5"/>
  <c r="E267" i="5"/>
  <c r="G266" i="5"/>
  <c r="F266" i="5"/>
  <c r="E266" i="5"/>
  <c r="G265" i="5"/>
  <c r="F265" i="5"/>
  <c r="E265" i="5"/>
  <c r="G264" i="5"/>
  <c r="F264" i="5"/>
  <c r="E264" i="5"/>
  <c r="G263" i="5"/>
  <c r="F263" i="5"/>
  <c r="E263" i="5"/>
  <c r="G262" i="5"/>
  <c r="F262" i="5"/>
  <c r="E262" i="5"/>
  <c r="G261" i="5"/>
  <c r="F261" i="5"/>
  <c r="E261" i="5"/>
  <c r="G260" i="5"/>
  <c r="F260" i="5"/>
  <c r="E260" i="5"/>
  <c r="G259" i="5"/>
  <c r="F259" i="5"/>
  <c r="E259" i="5"/>
  <c r="G258" i="5"/>
  <c r="F258" i="5"/>
  <c r="E258" i="5"/>
  <c r="G257" i="5"/>
  <c r="F257" i="5"/>
  <c r="E257" i="5"/>
  <c r="G256" i="5"/>
  <c r="F256" i="5"/>
  <c r="E256" i="5"/>
  <c r="G255" i="5"/>
  <c r="F255" i="5"/>
  <c r="E255" i="5"/>
  <c r="G254" i="5"/>
  <c r="F254" i="5"/>
  <c r="E254" i="5"/>
  <c r="G253" i="5"/>
  <c r="F253" i="5"/>
  <c r="E253" i="5"/>
  <c r="G252" i="5"/>
  <c r="F252" i="5"/>
  <c r="E252" i="5"/>
  <c r="G251" i="5"/>
  <c r="F251" i="5"/>
  <c r="E251" i="5"/>
  <c r="G250" i="5"/>
  <c r="F250" i="5"/>
  <c r="E250" i="5"/>
  <c r="G249" i="5"/>
  <c r="F249" i="5"/>
  <c r="E249" i="5"/>
  <c r="G248" i="5"/>
  <c r="F248" i="5"/>
  <c r="E248" i="5"/>
  <c r="G247" i="5"/>
  <c r="F247" i="5"/>
  <c r="E247" i="5"/>
  <c r="G246" i="5"/>
  <c r="F246" i="5"/>
  <c r="E246" i="5"/>
  <c r="G245" i="5"/>
  <c r="F245" i="5"/>
  <c r="E245" i="5"/>
  <c r="G244" i="5"/>
  <c r="F244" i="5"/>
  <c r="E244" i="5"/>
  <c r="G243" i="5"/>
  <c r="F243" i="5"/>
  <c r="E243" i="5"/>
  <c r="G242" i="5"/>
  <c r="F242" i="5"/>
  <c r="E242" i="5"/>
  <c r="G241" i="5"/>
  <c r="F241" i="5"/>
  <c r="E241" i="5"/>
  <c r="G240" i="5"/>
  <c r="F240" i="5"/>
  <c r="E240" i="5"/>
  <c r="G239" i="5"/>
  <c r="F239" i="5"/>
  <c r="E239" i="5"/>
  <c r="G238" i="5"/>
  <c r="F238" i="5"/>
  <c r="E238" i="5"/>
  <c r="G237" i="5"/>
  <c r="F237" i="5"/>
  <c r="E237" i="5"/>
  <c r="G236" i="5"/>
  <c r="F236" i="5"/>
  <c r="E236" i="5"/>
  <c r="G235" i="5"/>
  <c r="F235" i="5"/>
  <c r="E235" i="5"/>
  <c r="G234" i="5"/>
  <c r="F234" i="5"/>
  <c r="E234" i="5"/>
  <c r="G233" i="5"/>
  <c r="F233" i="5"/>
  <c r="E233" i="5"/>
  <c r="G232" i="5"/>
  <c r="F232" i="5"/>
  <c r="E232" i="5"/>
  <c r="G231" i="5"/>
  <c r="F231" i="5"/>
  <c r="E231" i="5"/>
  <c r="G230" i="5"/>
  <c r="F230" i="5"/>
  <c r="E230" i="5"/>
  <c r="G229" i="5"/>
  <c r="F229" i="5"/>
  <c r="E229" i="5"/>
  <c r="G228" i="5"/>
  <c r="F228" i="5"/>
  <c r="E228" i="5"/>
  <c r="G227" i="5"/>
  <c r="F227" i="5"/>
  <c r="E227" i="5"/>
  <c r="G226" i="5"/>
  <c r="F226" i="5"/>
  <c r="E226" i="5"/>
  <c r="G225" i="5"/>
  <c r="F225" i="5"/>
  <c r="E225" i="5"/>
  <c r="G224" i="5"/>
  <c r="F224" i="5"/>
  <c r="E224" i="5"/>
  <c r="G223" i="5"/>
  <c r="F223" i="5"/>
  <c r="E223" i="5"/>
  <c r="G222" i="5"/>
  <c r="F222" i="5"/>
  <c r="E222" i="5"/>
  <c r="G221" i="5"/>
  <c r="F221" i="5"/>
  <c r="E221" i="5"/>
  <c r="G220" i="5"/>
  <c r="F220" i="5"/>
  <c r="E220" i="5"/>
  <c r="G219" i="5"/>
  <c r="F219" i="5"/>
  <c r="E219" i="5"/>
  <c r="G218" i="5"/>
  <c r="F218" i="5"/>
  <c r="E218" i="5"/>
  <c r="G217" i="5"/>
  <c r="F217" i="5"/>
  <c r="E217" i="5"/>
  <c r="G216" i="5"/>
  <c r="F216" i="5"/>
  <c r="E216" i="5"/>
  <c r="G215" i="5"/>
  <c r="F215" i="5"/>
  <c r="E215" i="5"/>
  <c r="G214" i="5"/>
  <c r="F214" i="5"/>
  <c r="E214" i="5"/>
  <c r="G213" i="5"/>
  <c r="F213" i="5"/>
  <c r="E213" i="5"/>
  <c r="G212" i="5"/>
  <c r="F212" i="5"/>
  <c r="E212" i="5"/>
  <c r="G211" i="5"/>
  <c r="F211" i="5"/>
  <c r="E211" i="5"/>
  <c r="G210" i="5"/>
  <c r="F210" i="5"/>
  <c r="E210" i="5"/>
  <c r="G209" i="5"/>
  <c r="F209" i="5"/>
  <c r="E209" i="5"/>
  <c r="G208" i="5"/>
  <c r="F208" i="5"/>
  <c r="E208" i="5"/>
  <c r="G207" i="5"/>
  <c r="F207" i="5"/>
  <c r="E207" i="5"/>
  <c r="G206" i="5"/>
  <c r="F206" i="5"/>
  <c r="E206" i="5"/>
  <c r="G205" i="5"/>
  <c r="F205" i="5"/>
  <c r="E205" i="5"/>
  <c r="G204" i="5"/>
  <c r="F204" i="5"/>
  <c r="E204" i="5"/>
  <c r="G203" i="5"/>
  <c r="F203" i="5"/>
  <c r="E203" i="5"/>
  <c r="G202" i="5"/>
  <c r="F202" i="5"/>
  <c r="E202" i="5"/>
  <c r="G201" i="5"/>
  <c r="F201" i="5"/>
  <c r="E201" i="5"/>
  <c r="G200" i="5"/>
  <c r="F200" i="5"/>
  <c r="E200" i="5"/>
  <c r="G199" i="5"/>
  <c r="F199" i="5"/>
  <c r="E199" i="5"/>
  <c r="G198" i="5"/>
  <c r="F198" i="5"/>
  <c r="E198" i="5"/>
  <c r="G197" i="5"/>
  <c r="F197" i="5"/>
  <c r="E197" i="5"/>
  <c r="G196" i="5"/>
  <c r="F196" i="5"/>
  <c r="E196" i="5"/>
  <c r="G195" i="5"/>
  <c r="F195" i="5"/>
  <c r="E195" i="5"/>
  <c r="G194" i="5"/>
  <c r="F194" i="5"/>
  <c r="E194" i="5"/>
  <c r="G193" i="5"/>
  <c r="F193" i="5"/>
  <c r="E193" i="5"/>
  <c r="G192" i="5"/>
  <c r="F192" i="5"/>
  <c r="E192" i="5"/>
  <c r="G191" i="5"/>
  <c r="F191" i="5"/>
  <c r="E191" i="5"/>
  <c r="G190" i="5"/>
  <c r="F190" i="5"/>
  <c r="E190" i="5"/>
  <c r="G189" i="5"/>
  <c r="F189" i="5"/>
  <c r="E189" i="5"/>
  <c r="G188" i="5"/>
  <c r="F188" i="5"/>
  <c r="E188" i="5"/>
  <c r="G187" i="5"/>
  <c r="F187" i="5"/>
  <c r="E187" i="5"/>
  <c r="G186" i="5"/>
  <c r="F186" i="5"/>
  <c r="E186" i="5"/>
  <c r="G185" i="5"/>
  <c r="F185" i="5"/>
  <c r="E185" i="5"/>
  <c r="G184" i="5"/>
  <c r="F184" i="5"/>
  <c r="E184" i="5"/>
  <c r="G183" i="5"/>
  <c r="F183" i="5"/>
  <c r="E183" i="5"/>
  <c r="G182" i="5"/>
  <c r="F182" i="5"/>
  <c r="E182" i="5"/>
  <c r="G181" i="5"/>
  <c r="F181" i="5"/>
  <c r="E181" i="5"/>
  <c r="G180" i="5"/>
  <c r="F180" i="5"/>
  <c r="E180" i="5"/>
  <c r="G179" i="5"/>
  <c r="F179" i="5"/>
  <c r="E179" i="5"/>
  <c r="G178" i="5"/>
  <c r="F178" i="5"/>
  <c r="E178" i="5"/>
  <c r="G177" i="5"/>
  <c r="F177" i="5"/>
  <c r="E177" i="5"/>
  <c r="G176" i="5"/>
  <c r="F176" i="5"/>
  <c r="E176" i="5"/>
  <c r="G175" i="5"/>
  <c r="F175" i="5"/>
  <c r="E175" i="5"/>
  <c r="G174" i="5"/>
  <c r="F174" i="5"/>
  <c r="E174" i="5"/>
  <c r="G173" i="5"/>
  <c r="F173" i="5"/>
  <c r="E173" i="5"/>
  <c r="G172" i="5"/>
  <c r="F172" i="5"/>
  <c r="E172" i="5"/>
  <c r="G171" i="5"/>
  <c r="F171" i="5"/>
  <c r="E171" i="5"/>
  <c r="G170" i="5"/>
  <c r="F170" i="5"/>
  <c r="E170" i="5"/>
  <c r="G169" i="5"/>
  <c r="F169" i="5"/>
  <c r="E169" i="5"/>
  <c r="G168" i="5"/>
  <c r="F168" i="5"/>
  <c r="E168" i="5"/>
  <c r="G167" i="5"/>
  <c r="F167" i="5"/>
  <c r="E167" i="5"/>
  <c r="G166" i="5"/>
  <c r="F166" i="5"/>
  <c r="E166" i="5"/>
  <c r="G165" i="5"/>
  <c r="F165" i="5"/>
  <c r="E165" i="5"/>
  <c r="G164" i="5"/>
  <c r="F164" i="5"/>
  <c r="E164" i="5"/>
  <c r="G163" i="5"/>
  <c r="F163" i="5"/>
  <c r="E163" i="5"/>
  <c r="G162" i="5"/>
  <c r="F162" i="5"/>
  <c r="E162" i="5"/>
  <c r="G161" i="5"/>
  <c r="F161" i="5"/>
  <c r="E161" i="5"/>
  <c r="G160" i="5"/>
  <c r="F160" i="5"/>
  <c r="E160" i="5"/>
  <c r="G159" i="5"/>
  <c r="F159" i="5"/>
  <c r="E159" i="5"/>
  <c r="G158" i="5"/>
  <c r="F158" i="5"/>
  <c r="E158" i="5"/>
  <c r="G157" i="5"/>
  <c r="F157" i="5"/>
  <c r="E157" i="5"/>
  <c r="G156" i="5"/>
  <c r="F156" i="5"/>
  <c r="E156" i="5"/>
  <c r="G155" i="5"/>
  <c r="F155" i="5"/>
  <c r="E155" i="5"/>
  <c r="G154" i="5"/>
  <c r="F154" i="5"/>
  <c r="E154" i="5"/>
  <c r="G153" i="5"/>
  <c r="F153" i="5"/>
  <c r="E153" i="5"/>
  <c r="G152" i="5"/>
  <c r="F152" i="5"/>
  <c r="E152" i="5"/>
  <c r="G151" i="5"/>
  <c r="F151" i="5"/>
  <c r="E151" i="5"/>
  <c r="G150" i="5"/>
  <c r="F150" i="5"/>
  <c r="E150" i="5"/>
  <c r="G149" i="5"/>
  <c r="F149" i="5"/>
  <c r="E149" i="5"/>
  <c r="G148" i="5"/>
  <c r="F148" i="5"/>
  <c r="E148" i="5"/>
  <c r="G147" i="5"/>
  <c r="F147" i="5"/>
  <c r="E147" i="5"/>
  <c r="G146" i="5"/>
  <c r="F146" i="5"/>
  <c r="E146" i="5"/>
  <c r="G145" i="5"/>
  <c r="F145" i="5"/>
  <c r="E145" i="5"/>
  <c r="G144" i="5"/>
  <c r="F144" i="5"/>
  <c r="E144" i="5"/>
  <c r="G143" i="5"/>
  <c r="F143" i="5"/>
  <c r="E143" i="5"/>
  <c r="G142" i="5"/>
  <c r="F142" i="5"/>
  <c r="E142" i="5"/>
  <c r="G141" i="5"/>
  <c r="F141" i="5"/>
  <c r="E141" i="5"/>
  <c r="G140" i="5"/>
  <c r="F140" i="5"/>
  <c r="E140" i="5"/>
  <c r="G139" i="5"/>
  <c r="F139" i="5"/>
  <c r="E139" i="5"/>
  <c r="G138" i="5"/>
  <c r="F138" i="5"/>
  <c r="E138" i="5"/>
  <c r="G137" i="5"/>
  <c r="F137" i="5"/>
  <c r="E137" i="5"/>
  <c r="G136" i="5"/>
  <c r="F136" i="5"/>
  <c r="E136" i="5"/>
  <c r="G135" i="5"/>
  <c r="F135" i="5"/>
  <c r="E135" i="5"/>
  <c r="G134" i="5"/>
  <c r="F134" i="5"/>
  <c r="E134" i="5"/>
  <c r="G133" i="5"/>
  <c r="F133" i="5"/>
  <c r="E133" i="5"/>
  <c r="G132" i="5"/>
  <c r="F132" i="5"/>
  <c r="E132" i="5"/>
  <c r="G131" i="5"/>
  <c r="F131" i="5"/>
  <c r="E131" i="5"/>
  <c r="G130" i="5"/>
  <c r="F130" i="5"/>
  <c r="E130" i="5"/>
  <c r="G129" i="5"/>
  <c r="F129" i="5"/>
  <c r="E129" i="5"/>
  <c r="G128" i="5"/>
  <c r="F128" i="5"/>
  <c r="E128" i="5"/>
  <c r="G127" i="5"/>
  <c r="F127" i="5"/>
  <c r="E127" i="5"/>
  <c r="G126" i="5"/>
  <c r="F126" i="5"/>
  <c r="E126" i="5"/>
  <c r="G125" i="5"/>
  <c r="F125" i="5"/>
  <c r="E125" i="5"/>
  <c r="G124" i="5"/>
  <c r="F124" i="5"/>
  <c r="E124" i="5"/>
  <c r="G123" i="5"/>
  <c r="F123" i="5"/>
  <c r="E123" i="5"/>
  <c r="G122" i="5"/>
  <c r="F122" i="5"/>
  <c r="E122" i="5"/>
  <c r="G121" i="5"/>
  <c r="F121" i="5"/>
  <c r="E121" i="5"/>
  <c r="G120" i="5"/>
  <c r="F120" i="5"/>
  <c r="E120" i="5"/>
  <c r="G119" i="5"/>
  <c r="F119" i="5"/>
  <c r="E119" i="5"/>
  <c r="G118" i="5"/>
  <c r="F118" i="5"/>
  <c r="E118" i="5"/>
  <c r="G117" i="5"/>
  <c r="F117" i="5"/>
  <c r="E117" i="5"/>
  <c r="G116" i="5"/>
  <c r="F116" i="5"/>
  <c r="E116" i="5"/>
  <c r="G115" i="5"/>
  <c r="F115" i="5"/>
  <c r="E115" i="5"/>
  <c r="G114" i="5"/>
  <c r="F114" i="5"/>
  <c r="E114" i="5"/>
  <c r="G113" i="5"/>
  <c r="F113" i="5"/>
  <c r="E113" i="5"/>
  <c r="G112" i="5"/>
  <c r="F112" i="5"/>
  <c r="E112" i="5"/>
  <c r="G111" i="5"/>
  <c r="F111" i="5"/>
  <c r="E111" i="5"/>
  <c r="G110" i="5"/>
  <c r="F110" i="5"/>
  <c r="E110" i="5"/>
  <c r="G109" i="5"/>
  <c r="F109" i="5"/>
  <c r="E109" i="5"/>
  <c r="G108" i="5"/>
  <c r="F108" i="5"/>
  <c r="E108" i="5"/>
  <c r="G107" i="5"/>
  <c r="F107" i="5"/>
  <c r="E107" i="5"/>
  <c r="G106" i="5"/>
  <c r="F106" i="5"/>
  <c r="E106" i="5"/>
  <c r="G105" i="5"/>
  <c r="F105" i="5"/>
  <c r="E105" i="5"/>
  <c r="G104" i="5"/>
  <c r="F104" i="5"/>
  <c r="E104" i="5"/>
  <c r="G103" i="5"/>
  <c r="F103" i="5"/>
  <c r="E103" i="5"/>
  <c r="G102" i="5"/>
  <c r="F102" i="5"/>
  <c r="E102" i="5"/>
  <c r="G101" i="5"/>
  <c r="F101" i="5"/>
  <c r="E101" i="5"/>
  <c r="G100" i="5"/>
  <c r="F100" i="5"/>
  <c r="E100" i="5"/>
  <c r="G99" i="5"/>
  <c r="F99" i="5"/>
  <c r="E99" i="5"/>
  <c r="G98" i="5"/>
  <c r="F98" i="5"/>
  <c r="E98" i="5"/>
  <c r="G97" i="5"/>
  <c r="F97" i="5"/>
  <c r="E97" i="5"/>
  <c r="G96" i="5"/>
  <c r="F96" i="5"/>
  <c r="E96" i="5"/>
  <c r="G95" i="5"/>
  <c r="F95" i="5"/>
  <c r="E95" i="5"/>
  <c r="G94" i="5"/>
  <c r="F94" i="5"/>
  <c r="E94" i="5"/>
  <c r="G93" i="5"/>
  <c r="F93" i="5"/>
  <c r="E93" i="5"/>
  <c r="G92" i="5"/>
  <c r="F92" i="5"/>
  <c r="E92" i="5"/>
  <c r="G91" i="5"/>
  <c r="F91" i="5"/>
  <c r="E91" i="5"/>
  <c r="G90" i="5"/>
  <c r="F90" i="5"/>
  <c r="E90" i="5"/>
  <c r="G89" i="5"/>
  <c r="F89" i="5"/>
  <c r="E89" i="5"/>
  <c r="G88" i="5"/>
  <c r="F88" i="5"/>
  <c r="E88" i="5"/>
  <c r="G87" i="5"/>
  <c r="F87" i="5"/>
  <c r="E87" i="5"/>
  <c r="G86" i="5"/>
  <c r="F86" i="5"/>
  <c r="E86" i="5"/>
  <c r="G85" i="5"/>
  <c r="F85" i="5"/>
  <c r="E85" i="5"/>
  <c r="G84" i="5"/>
  <c r="F84" i="5"/>
  <c r="E84" i="5"/>
  <c r="G83" i="5"/>
  <c r="F83" i="5"/>
  <c r="E83" i="5"/>
  <c r="G82" i="5"/>
  <c r="F82" i="5"/>
  <c r="E82" i="5"/>
  <c r="G81" i="5"/>
  <c r="F81" i="5"/>
  <c r="E81" i="5"/>
  <c r="G80" i="5"/>
  <c r="F80" i="5"/>
  <c r="E80" i="5"/>
  <c r="G79" i="5"/>
  <c r="F79" i="5"/>
  <c r="E79" i="5"/>
  <c r="G78" i="5"/>
  <c r="F78" i="5"/>
  <c r="E78" i="5"/>
  <c r="G77" i="5"/>
  <c r="F77" i="5"/>
  <c r="E77" i="5"/>
  <c r="G76" i="5"/>
  <c r="F76" i="5"/>
  <c r="E76" i="5"/>
  <c r="G75" i="5"/>
  <c r="F75" i="5"/>
  <c r="E75" i="5"/>
  <c r="G74" i="5"/>
  <c r="F74" i="5"/>
  <c r="E74" i="5"/>
  <c r="G73" i="5"/>
  <c r="F73" i="5"/>
  <c r="E73" i="5"/>
  <c r="G72" i="5"/>
  <c r="F72" i="5"/>
  <c r="E72" i="5"/>
  <c r="G71" i="5"/>
  <c r="F71" i="5"/>
  <c r="E71" i="5"/>
  <c r="G70" i="5"/>
  <c r="F70" i="5"/>
  <c r="E70" i="5"/>
  <c r="G69" i="5"/>
  <c r="F69" i="5"/>
  <c r="E69" i="5"/>
  <c r="G68" i="5"/>
  <c r="F68" i="5"/>
  <c r="E68" i="5"/>
  <c r="G67" i="5"/>
  <c r="F67" i="5"/>
  <c r="E67" i="5"/>
  <c r="G66" i="5"/>
  <c r="F66" i="5"/>
  <c r="E66" i="5"/>
  <c r="G65" i="5"/>
  <c r="F65" i="5"/>
  <c r="E65" i="5"/>
  <c r="G64" i="5"/>
  <c r="F64" i="5"/>
  <c r="E64" i="5"/>
  <c r="G63" i="5"/>
  <c r="F63" i="5"/>
  <c r="E63" i="5"/>
  <c r="G62" i="5"/>
  <c r="F62" i="5"/>
  <c r="E62" i="5"/>
  <c r="G61" i="5"/>
  <c r="F61" i="5"/>
  <c r="E61" i="5"/>
  <c r="G60" i="5"/>
  <c r="F60" i="5"/>
  <c r="E60" i="5"/>
  <c r="G59" i="5"/>
  <c r="F59" i="5"/>
  <c r="E59" i="5"/>
  <c r="G58" i="5"/>
  <c r="F58" i="5"/>
  <c r="E58" i="5"/>
  <c r="G57" i="5"/>
  <c r="F57" i="5"/>
  <c r="E57" i="5"/>
  <c r="G56" i="5"/>
  <c r="F56" i="5"/>
  <c r="E56" i="5"/>
  <c r="G55" i="5"/>
  <c r="F55" i="5"/>
  <c r="E55" i="5"/>
  <c r="G54" i="5"/>
  <c r="F54" i="5"/>
  <c r="E54" i="5"/>
  <c r="G53" i="5"/>
  <c r="F53" i="5"/>
  <c r="E53" i="5"/>
  <c r="G52" i="5"/>
  <c r="F52" i="5"/>
  <c r="E52" i="5"/>
  <c r="G51" i="5"/>
  <c r="F51" i="5"/>
  <c r="E51" i="5"/>
  <c r="G50" i="5"/>
  <c r="F50" i="5"/>
  <c r="E50" i="5"/>
  <c r="G49" i="5"/>
  <c r="F49" i="5"/>
  <c r="E49" i="5"/>
  <c r="G48" i="5"/>
  <c r="F48" i="5"/>
  <c r="E48" i="5"/>
  <c r="G47" i="5"/>
  <c r="F47" i="5"/>
  <c r="E47" i="5"/>
  <c r="G46" i="5"/>
  <c r="F46" i="5"/>
  <c r="E46" i="5"/>
  <c r="G44" i="5"/>
  <c r="F44" i="5"/>
  <c r="E44" i="5"/>
  <c r="G43" i="5"/>
  <c r="F43" i="5"/>
  <c r="E43" i="5"/>
  <c r="G42" i="5"/>
  <c r="F42" i="5"/>
  <c r="E42" i="5"/>
  <c r="G41" i="5"/>
  <c r="F41" i="5"/>
  <c r="E41" i="5"/>
  <c r="G40" i="5"/>
  <c r="F40" i="5"/>
  <c r="E40" i="5"/>
  <c r="G39" i="5"/>
  <c r="F39" i="5"/>
  <c r="E39" i="5"/>
  <c r="G38" i="5"/>
  <c r="F38" i="5"/>
  <c r="E38" i="5"/>
  <c r="G37" i="5"/>
  <c r="F37" i="5"/>
  <c r="E37" i="5"/>
  <c r="H999" i="5"/>
  <c r="H998" i="5"/>
  <c r="H995" i="5"/>
  <c r="H991" i="5"/>
  <c r="H990" i="5"/>
  <c r="H987" i="5"/>
  <c r="H986" i="5"/>
  <c r="H983" i="5"/>
  <c r="H980" i="5"/>
  <c r="H979" i="5"/>
  <c r="H978" i="5"/>
  <c r="H975" i="5"/>
  <c r="H974" i="5"/>
  <c r="H971" i="5"/>
  <c r="H968" i="5"/>
  <c r="H967" i="5"/>
  <c r="H966" i="5"/>
  <c r="H963" i="5"/>
  <c r="H962" i="5"/>
  <c r="H959" i="5"/>
  <c r="H956" i="5"/>
  <c r="H955" i="5"/>
  <c r="H954" i="5"/>
  <c r="H951" i="5"/>
  <c r="H950" i="5"/>
  <c r="H947" i="5"/>
  <c r="H944" i="5"/>
  <c r="H943" i="5"/>
  <c r="H942" i="5"/>
  <c r="H939" i="5"/>
  <c r="H938" i="5"/>
  <c r="H935" i="5"/>
  <c r="H932" i="5"/>
  <c r="H931" i="5"/>
  <c r="H930" i="5"/>
  <c r="H927" i="5"/>
  <c r="H926" i="5"/>
  <c r="H923" i="5"/>
  <c r="H920" i="5"/>
  <c r="H919" i="5"/>
  <c r="H918" i="5"/>
  <c r="H915" i="5"/>
  <c r="H914" i="5"/>
  <c r="H911" i="5"/>
  <c r="H908" i="5"/>
  <c r="H907" i="5"/>
  <c r="H906" i="5"/>
  <c r="H903" i="5"/>
  <c r="H902" i="5"/>
  <c r="H899" i="5"/>
  <c r="H896" i="5"/>
  <c r="H895" i="5"/>
  <c r="H894" i="5"/>
  <c r="H891" i="5"/>
  <c r="H890" i="5"/>
  <c r="H887" i="5"/>
  <c r="H884" i="5"/>
  <c r="H883" i="5"/>
  <c r="H882" i="5"/>
  <c r="H879" i="5"/>
  <c r="H878" i="5"/>
  <c r="H875" i="5"/>
  <c r="H872" i="5"/>
  <c r="H871" i="5"/>
  <c r="H870" i="5"/>
  <c r="H867" i="5"/>
  <c r="H866" i="5"/>
  <c r="H863" i="5"/>
  <c r="H860" i="5"/>
  <c r="H859" i="5"/>
  <c r="H858" i="5"/>
  <c r="H855" i="5"/>
  <c r="H854" i="5"/>
  <c r="H851" i="5"/>
  <c r="H848" i="5"/>
  <c r="H847" i="5"/>
  <c r="H846" i="5"/>
  <c r="H843" i="5"/>
  <c r="H842" i="5"/>
  <c r="H839" i="5"/>
  <c r="H836" i="5"/>
  <c r="H835" i="5"/>
  <c r="H834" i="5"/>
  <c r="H831" i="5"/>
  <c r="H830" i="5"/>
  <c r="H827" i="5"/>
  <c r="H824" i="5"/>
  <c r="H823" i="5"/>
  <c r="H822" i="5"/>
  <c r="H819" i="5"/>
  <c r="H818" i="5"/>
  <c r="H815" i="5"/>
  <c r="H812" i="5"/>
  <c r="H811" i="5"/>
  <c r="H810" i="5"/>
  <c r="H807" i="5"/>
  <c r="H806" i="5"/>
  <c r="H803" i="5"/>
  <c r="H800" i="5"/>
  <c r="H799" i="5"/>
  <c r="H798" i="5"/>
  <c r="H795" i="5"/>
  <c r="H794" i="5"/>
  <c r="H791" i="5"/>
  <c r="H788" i="5"/>
  <c r="H787" i="5"/>
  <c r="H786" i="5"/>
  <c r="H783" i="5"/>
  <c r="H782" i="5"/>
  <c r="H779" i="5"/>
  <c r="H776" i="5"/>
  <c r="H775" i="5"/>
  <c r="H774" i="5"/>
  <c r="H771" i="5"/>
  <c r="H770" i="5"/>
  <c r="H767" i="5"/>
  <c r="H764" i="5"/>
  <c r="H763" i="5"/>
  <c r="H762" i="5"/>
  <c r="H759" i="5"/>
  <c r="H758" i="5"/>
  <c r="H755" i="5"/>
  <c r="H752" i="5"/>
  <c r="H751" i="5"/>
  <c r="H750" i="5"/>
  <c r="H747" i="5"/>
  <c r="H746" i="5"/>
  <c r="H743" i="5"/>
  <c r="H740" i="5"/>
  <c r="H739" i="5"/>
  <c r="H738" i="5"/>
  <c r="H735" i="5"/>
  <c r="H734" i="5"/>
  <c r="H731" i="5"/>
  <c r="H728" i="5"/>
  <c r="H727" i="5"/>
  <c r="H726" i="5"/>
  <c r="H723" i="5"/>
  <c r="H722" i="5"/>
  <c r="H719" i="5"/>
  <c r="H716" i="5"/>
  <c r="H715" i="5"/>
  <c r="H714" i="5"/>
  <c r="H711" i="5"/>
  <c r="H710" i="5"/>
  <c r="H707" i="5"/>
  <c r="H704" i="5"/>
  <c r="H703" i="5"/>
  <c r="H702" i="5"/>
  <c r="H699" i="5"/>
  <c r="H698" i="5"/>
  <c r="H695" i="5"/>
  <c r="H692" i="5"/>
  <c r="H691" i="5"/>
  <c r="H690" i="5"/>
  <c r="H687" i="5"/>
  <c r="H686" i="5"/>
  <c r="H683" i="5"/>
  <c r="H680" i="5"/>
  <c r="H679" i="5"/>
  <c r="H678" i="5"/>
  <c r="H675" i="5"/>
  <c r="H674" i="5"/>
  <c r="H671" i="5"/>
  <c r="H668" i="5"/>
  <c r="H667" i="5"/>
  <c r="H666" i="5"/>
  <c r="H663" i="5"/>
  <c r="H662" i="5"/>
  <c r="H659" i="5"/>
  <c r="H656" i="5"/>
  <c r="H655" i="5"/>
  <c r="H654" i="5"/>
  <c r="H651" i="5"/>
  <c r="H650" i="5"/>
  <c r="H647" i="5"/>
  <c r="H644" i="5"/>
  <c r="H643" i="5"/>
  <c r="H642" i="5"/>
  <c r="H639" i="5"/>
  <c r="H638" i="5"/>
  <c r="H635" i="5"/>
  <c r="H632" i="5"/>
  <c r="H631" i="5"/>
  <c r="H630" i="5"/>
  <c r="H627" i="5"/>
  <c r="H626" i="5"/>
  <c r="H623" i="5"/>
  <c r="H620" i="5"/>
  <c r="H619" i="5"/>
  <c r="H618" i="5"/>
  <c r="H615" i="5"/>
  <c r="H614" i="5"/>
  <c r="H611" i="5"/>
  <c r="H608" i="5"/>
  <c r="H607" i="5"/>
  <c r="H606" i="5"/>
  <c r="H603" i="5"/>
  <c r="H602" i="5"/>
  <c r="H599" i="5"/>
  <c r="H596" i="5"/>
  <c r="H595" i="5"/>
  <c r="H594" i="5"/>
  <c r="H591" i="5"/>
  <c r="H590" i="5"/>
  <c r="H587" i="5"/>
  <c r="H584" i="5"/>
  <c r="H583" i="5"/>
  <c r="H582" i="5"/>
  <c r="H579" i="5"/>
  <c r="H578" i="5"/>
  <c r="H575" i="5"/>
  <c r="H574" i="5"/>
  <c r="H572" i="5"/>
  <c r="H571" i="5"/>
  <c r="H570" i="5"/>
  <c r="H567" i="5"/>
  <c r="H566" i="5"/>
  <c r="H563" i="5"/>
  <c r="H562" i="5"/>
  <c r="H560" i="5"/>
  <c r="H559" i="5"/>
  <c r="H558" i="5"/>
  <c r="H555" i="5"/>
  <c r="H554" i="5"/>
  <c r="H551" i="5"/>
  <c r="H550" i="5"/>
  <c r="H548" i="5"/>
  <c r="H547" i="5"/>
  <c r="H546" i="5"/>
  <c r="H543" i="5"/>
  <c r="H542" i="5"/>
  <c r="H539" i="5"/>
  <c r="H538" i="5"/>
  <c r="H536" i="5"/>
  <c r="H535" i="5"/>
  <c r="H534" i="5"/>
  <c r="H531" i="5"/>
  <c r="H530" i="5"/>
  <c r="H527" i="5"/>
  <c r="H526" i="5"/>
  <c r="H524" i="5"/>
  <c r="H523" i="5"/>
  <c r="H522" i="5"/>
  <c r="H519" i="5"/>
  <c r="H518" i="5"/>
  <c r="H515" i="5"/>
  <c r="H514" i="5"/>
  <c r="H512" i="5"/>
  <c r="H511" i="5"/>
  <c r="H510" i="5"/>
  <c r="H507" i="5"/>
  <c r="H506" i="5"/>
  <c r="H503" i="5"/>
  <c r="H502" i="5"/>
  <c r="H500" i="5"/>
  <c r="H499" i="5"/>
  <c r="H498" i="5"/>
  <c r="H495" i="5"/>
  <c r="H494" i="5"/>
  <c r="H491" i="5"/>
  <c r="H490" i="5"/>
  <c r="H488" i="5"/>
  <c r="H487" i="5"/>
  <c r="H486" i="5"/>
  <c r="H483" i="5"/>
  <c r="H482" i="5"/>
  <c r="H479" i="5"/>
  <c r="H478" i="5"/>
  <c r="H476" i="5"/>
  <c r="H475" i="5"/>
  <c r="H474" i="5"/>
  <c r="H471" i="5"/>
  <c r="H470" i="5"/>
  <c r="H467" i="5"/>
  <c r="H466" i="5"/>
  <c r="H464" i="5"/>
  <c r="H463" i="5"/>
  <c r="H462" i="5"/>
  <c r="H459" i="5"/>
  <c r="H458" i="5"/>
  <c r="H455" i="5"/>
  <c r="H454" i="5"/>
  <c r="H452" i="5"/>
  <c r="H451" i="5"/>
  <c r="H450" i="5"/>
  <c r="H447" i="5"/>
  <c r="H446" i="5"/>
  <c r="H443" i="5"/>
  <c r="H442" i="5"/>
  <c r="H440" i="5"/>
  <c r="H439" i="5"/>
  <c r="H438" i="5"/>
  <c r="H435" i="5"/>
  <c r="H434" i="5"/>
  <c r="H431" i="5"/>
  <c r="H430" i="5"/>
  <c r="H428" i="5"/>
  <c r="H427" i="5"/>
  <c r="H426" i="5"/>
  <c r="H423" i="5"/>
  <c r="H422" i="5"/>
  <c r="H419" i="5"/>
  <c r="H418" i="5"/>
  <c r="H416" i="5"/>
  <c r="H415" i="5"/>
  <c r="H414" i="5"/>
  <c r="H411" i="5"/>
  <c r="H410" i="5"/>
  <c r="H407" i="5"/>
  <c r="H406" i="5"/>
  <c r="H404" i="5"/>
  <c r="H403" i="5"/>
  <c r="H402" i="5"/>
  <c r="H399" i="5"/>
  <c r="H398" i="5"/>
  <c r="H395" i="5"/>
  <c r="H394" i="5"/>
  <c r="H392" i="5"/>
  <c r="H391" i="5"/>
  <c r="H390" i="5"/>
  <c r="H387" i="5"/>
  <c r="H386" i="5"/>
  <c r="H383" i="5"/>
  <c r="H382" i="5"/>
  <c r="H380" i="5"/>
  <c r="H379" i="5"/>
  <c r="H378" i="5"/>
  <c r="H375" i="5"/>
  <c r="H374" i="5"/>
  <c r="H371" i="5"/>
  <c r="H370" i="5"/>
  <c r="H368" i="5"/>
  <c r="H367" i="5"/>
  <c r="H366" i="5"/>
  <c r="H363" i="5"/>
  <c r="H362" i="5"/>
  <c r="H359" i="5"/>
  <c r="H358" i="5"/>
  <c r="H356" i="5"/>
  <c r="H355" i="5"/>
  <c r="H354" i="5"/>
  <c r="H351" i="5"/>
  <c r="H350" i="5"/>
  <c r="H347" i="5"/>
  <c r="H346" i="5"/>
  <c r="H344" i="5"/>
  <c r="H343" i="5"/>
  <c r="H342" i="5"/>
  <c r="H339" i="5"/>
  <c r="H338" i="5"/>
  <c r="H335" i="5"/>
  <c r="H334" i="5"/>
  <c r="H332" i="5"/>
  <c r="H331" i="5"/>
  <c r="H330" i="5"/>
  <c r="H327" i="5"/>
  <c r="H326" i="5"/>
  <c r="H323" i="5"/>
  <c r="H322" i="5"/>
  <c r="H320" i="5"/>
  <c r="H319" i="5"/>
  <c r="H318" i="5"/>
  <c r="H315" i="5"/>
  <c r="H314" i="5"/>
  <c r="H311" i="5"/>
  <c r="H310" i="5"/>
  <c r="H308" i="5"/>
  <c r="H307" i="5"/>
  <c r="H306" i="5"/>
  <c r="H303" i="5"/>
  <c r="H302" i="5"/>
  <c r="H299" i="5"/>
  <c r="H298" i="5"/>
  <c r="H296" i="5"/>
  <c r="H295" i="5"/>
  <c r="H294" i="5"/>
  <c r="H291" i="5"/>
  <c r="H290" i="5"/>
  <c r="H287" i="5"/>
  <c r="H286" i="5"/>
  <c r="H284" i="5"/>
  <c r="H283" i="5"/>
  <c r="H282" i="5"/>
  <c r="H279" i="5"/>
  <c r="H278" i="5"/>
  <c r="H275" i="5"/>
  <c r="H274" i="5"/>
  <c r="H272" i="5"/>
  <c r="H271" i="5"/>
  <c r="H270" i="5"/>
  <c r="H267" i="5"/>
  <c r="H266" i="5"/>
  <c r="H263" i="5"/>
  <c r="H262" i="5"/>
  <c r="H260" i="5"/>
  <c r="H259" i="5"/>
  <c r="H258" i="5"/>
  <c r="H255" i="5"/>
  <c r="H254" i="5"/>
  <c r="H251" i="5"/>
  <c r="H250" i="5"/>
  <c r="H248" i="5"/>
  <c r="H247" i="5"/>
  <c r="H246" i="5"/>
  <c r="H243" i="5"/>
  <c r="H242" i="5"/>
  <c r="H239" i="5"/>
  <c r="H238" i="5"/>
  <c r="H236" i="5"/>
  <c r="H235" i="5"/>
  <c r="H234" i="5"/>
  <c r="H231" i="5"/>
  <c r="H230" i="5"/>
  <c r="H227" i="5"/>
  <c r="H226" i="5"/>
  <c r="H224" i="5"/>
  <c r="H223" i="5"/>
  <c r="H222" i="5"/>
  <c r="H219" i="5"/>
  <c r="H218" i="5"/>
  <c r="H215" i="5"/>
  <c r="H214" i="5"/>
  <c r="H212" i="5"/>
  <c r="H211" i="5"/>
  <c r="H210" i="5"/>
  <c r="H207" i="5"/>
  <c r="H206" i="5"/>
  <c r="H203" i="5"/>
  <c r="H202" i="5"/>
  <c r="H200" i="5"/>
  <c r="H199" i="5"/>
  <c r="H198" i="5"/>
  <c r="H195" i="5"/>
  <c r="H194" i="5"/>
  <c r="H191" i="5"/>
  <c r="H190" i="5"/>
  <c r="H188" i="5"/>
  <c r="H187" i="5"/>
  <c r="H186" i="5"/>
  <c r="H183" i="5"/>
  <c r="H182" i="5"/>
  <c r="H179" i="5"/>
  <c r="H178" i="5"/>
  <c r="H176" i="5"/>
  <c r="H175" i="5"/>
  <c r="H174" i="5"/>
  <c r="H171" i="5"/>
  <c r="H170" i="5"/>
  <c r="H167" i="5"/>
  <c r="H166" i="5"/>
  <c r="H164" i="5"/>
  <c r="H163" i="5"/>
  <c r="H162" i="5"/>
  <c r="H159" i="5"/>
  <c r="H158" i="5"/>
  <c r="H155" i="5"/>
  <c r="H154" i="5"/>
  <c r="H152" i="5"/>
  <c r="H151" i="5"/>
  <c r="H150" i="5"/>
  <c r="H147" i="5"/>
  <c r="H146" i="5"/>
  <c r="H143" i="5"/>
  <c r="H142" i="5"/>
  <c r="H140" i="5"/>
  <c r="H139" i="5"/>
  <c r="H138" i="5"/>
  <c r="H135" i="5"/>
  <c r="H134" i="5"/>
  <c r="H131" i="5"/>
  <c r="H130" i="5"/>
  <c r="H128" i="5"/>
  <c r="H127" i="5"/>
  <c r="H126" i="5"/>
  <c r="H123" i="5"/>
  <c r="H122" i="5"/>
  <c r="H119" i="5"/>
  <c r="H118" i="5"/>
  <c r="H116" i="5"/>
  <c r="H115" i="5"/>
  <c r="H114" i="5"/>
  <c r="H111" i="5"/>
  <c r="H110" i="5"/>
  <c r="H107" i="5"/>
  <c r="H106" i="5"/>
  <c r="H104" i="5"/>
  <c r="H103" i="5"/>
  <c r="H102" i="5"/>
  <c r="H99" i="5"/>
  <c r="H98" i="5"/>
  <c r="H95" i="5"/>
  <c r="H94" i="5"/>
  <c r="H92" i="5"/>
  <c r="H91" i="5"/>
  <c r="H90" i="5"/>
  <c r="H87" i="5"/>
  <c r="H86" i="5"/>
  <c r="H83" i="5"/>
  <c r="H82" i="5"/>
  <c r="H80" i="5"/>
  <c r="H79" i="5"/>
  <c r="H78" i="5"/>
  <c r="H75" i="5"/>
  <c r="H74" i="5"/>
  <c r="H71" i="5"/>
  <c r="H70" i="5"/>
  <c r="H68" i="5"/>
  <c r="H67" i="5"/>
  <c r="H66" i="5"/>
  <c r="H63" i="5"/>
  <c r="H62" i="5"/>
  <c r="H59" i="5"/>
  <c r="H58" i="5"/>
  <c r="H56" i="5"/>
  <c r="H55" i="5"/>
  <c r="H54" i="5"/>
  <c r="H51" i="5"/>
  <c r="H50" i="5"/>
  <c r="H47" i="5"/>
  <c r="H46" i="5"/>
  <c r="H44" i="5"/>
  <c r="H43" i="5"/>
  <c r="H42" i="5"/>
  <c r="H39" i="5"/>
  <c r="H38" i="5"/>
  <c r="H36" i="5" a="1"/>
  <c r="H997" i="5" s="1"/>
  <c r="H36" i="5"/>
  <c r="G36" i="5"/>
  <c r="F36" i="5"/>
  <c r="E36" i="5"/>
  <c r="A36" i="5"/>
  <c r="G32" i="5"/>
  <c r="I32" i="5" s="1"/>
  <c r="F32" i="5"/>
  <c r="G31" i="5"/>
  <c r="I31" i="5" s="1"/>
  <c r="F31" i="5"/>
  <c r="G30" i="5"/>
  <c r="I30" i="5" s="1"/>
  <c r="F30" i="5"/>
  <c r="G29" i="5"/>
  <c r="I29" i="5" s="1"/>
  <c r="F29" i="5"/>
  <c r="G28" i="5"/>
  <c r="I28" i="5" s="1"/>
  <c r="F28" i="5"/>
  <c r="G27" i="5"/>
  <c r="I27" i="5" s="1"/>
  <c r="F27" i="5"/>
  <c r="A27" i="5"/>
  <c r="F14" i="5"/>
  <c r="D23" i="5"/>
  <c r="D21" i="5"/>
  <c r="D20" i="5"/>
  <c r="D19" i="5"/>
  <c r="D14" i="5" a="1"/>
  <c r="D22" i="5" s="1"/>
  <c r="D14" i="5"/>
  <c r="A14" i="5"/>
  <c r="H6" i="5"/>
  <c r="F6" i="5"/>
  <c r="D6" i="5"/>
  <c r="B6" i="5"/>
  <c r="H5" i="5"/>
  <c r="D5" i="5"/>
  <c r="B5" i="5"/>
  <c r="F5" i="5" s="1"/>
  <c r="D15" i="5" l="1"/>
  <c r="D16" i="5"/>
  <c r="D17" i="5"/>
  <c r="D18" i="5"/>
  <c r="H40" i="5"/>
  <c r="H52" i="5"/>
  <c r="H64" i="5"/>
  <c r="H76" i="5"/>
  <c r="H88" i="5"/>
  <c r="H100" i="5"/>
  <c r="H112" i="5"/>
  <c r="H124" i="5"/>
  <c r="H136" i="5"/>
  <c r="H148" i="5"/>
  <c r="H160" i="5"/>
  <c r="H172" i="5"/>
  <c r="H184" i="5"/>
  <c r="H196" i="5"/>
  <c r="H208" i="5"/>
  <c r="H220" i="5"/>
  <c r="H232" i="5"/>
  <c r="H244" i="5"/>
  <c r="H256" i="5"/>
  <c r="H268" i="5"/>
  <c r="H280" i="5"/>
  <c r="H292" i="5"/>
  <c r="H304" i="5"/>
  <c r="H316" i="5"/>
  <c r="H328" i="5"/>
  <c r="H340" i="5"/>
  <c r="H352" i="5"/>
  <c r="H364" i="5"/>
  <c r="H376" i="5"/>
  <c r="H388" i="5"/>
  <c r="H400" i="5"/>
  <c r="H412" i="5"/>
  <c r="H424" i="5"/>
  <c r="H436" i="5"/>
  <c r="H448" i="5"/>
  <c r="H460" i="5"/>
  <c r="H472" i="5"/>
  <c r="H484" i="5"/>
  <c r="H496" i="5"/>
  <c r="H508" i="5"/>
  <c r="H520" i="5"/>
  <c r="H532" i="5"/>
  <c r="H544" i="5"/>
  <c r="H556" i="5"/>
  <c r="H568" i="5"/>
  <c r="H580" i="5"/>
  <c r="H592" i="5"/>
  <c r="H604" i="5"/>
  <c r="H616" i="5"/>
  <c r="H628" i="5"/>
  <c r="H640" i="5"/>
  <c r="H652" i="5"/>
  <c r="H664" i="5"/>
  <c r="H676" i="5"/>
  <c r="H688" i="5"/>
  <c r="H700" i="5"/>
  <c r="H712" i="5"/>
  <c r="H724" i="5"/>
  <c r="H736" i="5"/>
  <c r="H748" i="5"/>
  <c r="H760" i="5"/>
  <c r="H772" i="5"/>
  <c r="H784" i="5"/>
  <c r="H796" i="5"/>
  <c r="H808" i="5"/>
  <c r="H820" i="5"/>
  <c r="H832" i="5"/>
  <c r="H844" i="5"/>
  <c r="H856" i="5"/>
  <c r="H868" i="5"/>
  <c r="H880" i="5"/>
  <c r="H892" i="5"/>
  <c r="H904" i="5"/>
  <c r="H916" i="5"/>
  <c r="H928" i="5"/>
  <c r="H940" i="5"/>
  <c r="H952" i="5"/>
  <c r="H964" i="5"/>
  <c r="H976" i="5"/>
  <c r="H988" i="5"/>
  <c r="H1000" i="5"/>
  <c r="H41" i="5"/>
  <c r="H53" i="5"/>
  <c r="H65" i="5"/>
  <c r="H77" i="5"/>
  <c r="H89" i="5"/>
  <c r="H101" i="5"/>
  <c r="H113" i="5"/>
  <c r="H125" i="5"/>
  <c r="H137" i="5"/>
  <c r="H149" i="5"/>
  <c r="H161" i="5"/>
  <c r="H173" i="5"/>
  <c r="H185" i="5"/>
  <c r="H197" i="5"/>
  <c r="H209" i="5"/>
  <c r="H221" i="5"/>
  <c r="H233" i="5"/>
  <c r="H245" i="5"/>
  <c r="H257" i="5"/>
  <c r="H269" i="5"/>
  <c r="H281" i="5"/>
  <c r="H293" i="5"/>
  <c r="H305" i="5"/>
  <c r="H317" i="5"/>
  <c r="H329" i="5"/>
  <c r="H341" i="5"/>
  <c r="H353" i="5"/>
  <c r="H365" i="5"/>
  <c r="H377" i="5"/>
  <c r="H389" i="5"/>
  <c r="H401" i="5"/>
  <c r="H413" i="5"/>
  <c r="H425" i="5"/>
  <c r="H437" i="5"/>
  <c r="H449" i="5"/>
  <c r="H461" i="5"/>
  <c r="H473" i="5"/>
  <c r="H485" i="5"/>
  <c r="H497" i="5"/>
  <c r="H509" i="5"/>
  <c r="H521" i="5"/>
  <c r="H533" i="5"/>
  <c r="H545" i="5"/>
  <c r="H557" i="5"/>
  <c r="H569" i="5"/>
  <c r="H581" i="5"/>
  <c r="H593" i="5"/>
  <c r="H605" i="5"/>
  <c r="H617" i="5"/>
  <c r="H629" i="5"/>
  <c r="H641" i="5"/>
  <c r="H653" i="5"/>
  <c r="H665" i="5"/>
  <c r="H677" i="5"/>
  <c r="H689" i="5"/>
  <c r="H701" i="5"/>
  <c r="H713" i="5"/>
  <c r="H725" i="5"/>
  <c r="H737" i="5"/>
  <c r="H749" i="5"/>
  <c r="H761" i="5"/>
  <c r="H773" i="5"/>
  <c r="H785" i="5"/>
  <c r="H797" i="5"/>
  <c r="H809" i="5"/>
  <c r="H821" i="5"/>
  <c r="H833" i="5"/>
  <c r="H845" i="5"/>
  <c r="H857" i="5"/>
  <c r="H869" i="5"/>
  <c r="H881" i="5"/>
  <c r="H893" i="5"/>
  <c r="H905" i="5"/>
  <c r="H917" i="5"/>
  <c r="H929" i="5"/>
  <c r="H941" i="5"/>
  <c r="H953" i="5"/>
  <c r="H965" i="5"/>
  <c r="H977" i="5"/>
  <c r="H989" i="5"/>
  <c r="H992" i="5"/>
  <c r="H45" i="5"/>
  <c r="H57" i="5"/>
  <c r="H69" i="5"/>
  <c r="H81" i="5"/>
  <c r="H93" i="5"/>
  <c r="H105" i="5"/>
  <c r="H117" i="5"/>
  <c r="H129" i="5"/>
  <c r="H141" i="5"/>
  <c r="H153" i="5"/>
  <c r="H165" i="5"/>
  <c r="H177" i="5"/>
  <c r="H189" i="5"/>
  <c r="H201" i="5"/>
  <c r="H213" i="5"/>
  <c r="H225" i="5"/>
  <c r="H237" i="5"/>
  <c r="H249" i="5"/>
  <c r="H261" i="5"/>
  <c r="H273" i="5"/>
  <c r="H285" i="5"/>
  <c r="H297" i="5"/>
  <c r="H309" i="5"/>
  <c r="H321" i="5"/>
  <c r="H333" i="5"/>
  <c r="H345" i="5"/>
  <c r="H357" i="5"/>
  <c r="H369" i="5"/>
  <c r="H381" i="5"/>
  <c r="H393" i="5"/>
  <c r="H405" i="5"/>
  <c r="H417" i="5"/>
  <c r="H429" i="5"/>
  <c r="H441" i="5"/>
  <c r="H453" i="5"/>
  <c r="H465" i="5"/>
  <c r="H477" i="5"/>
  <c r="H489" i="5"/>
  <c r="H501" i="5"/>
  <c r="H513" i="5"/>
  <c r="H525" i="5"/>
  <c r="H537" i="5"/>
  <c r="H549" i="5"/>
  <c r="H561" i="5"/>
  <c r="H573" i="5"/>
  <c r="H585" i="5"/>
  <c r="H597" i="5"/>
  <c r="H609" i="5"/>
  <c r="H621" i="5"/>
  <c r="H633" i="5"/>
  <c r="H645" i="5"/>
  <c r="H657" i="5"/>
  <c r="H669" i="5"/>
  <c r="H681" i="5"/>
  <c r="H693" i="5"/>
  <c r="H705" i="5"/>
  <c r="H717" i="5"/>
  <c r="H729" i="5"/>
  <c r="H741" i="5"/>
  <c r="H753" i="5"/>
  <c r="H765" i="5"/>
  <c r="H777" i="5"/>
  <c r="H789" i="5"/>
  <c r="H801" i="5"/>
  <c r="H813" i="5"/>
  <c r="H825" i="5"/>
  <c r="H837" i="5"/>
  <c r="H849" i="5"/>
  <c r="H861" i="5"/>
  <c r="H873" i="5"/>
  <c r="H885" i="5"/>
  <c r="H897" i="5"/>
  <c r="H909" i="5"/>
  <c r="H921" i="5"/>
  <c r="H933" i="5"/>
  <c r="H945" i="5"/>
  <c r="H957" i="5"/>
  <c r="H969" i="5"/>
  <c r="H981" i="5"/>
  <c r="H993" i="5"/>
  <c r="H586" i="5"/>
  <c r="H598" i="5"/>
  <c r="H610" i="5"/>
  <c r="H622" i="5"/>
  <c r="H634" i="5"/>
  <c r="H646" i="5"/>
  <c r="H658" i="5"/>
  <c r="H670" i="5"/>
  <c r="H682" i="5"/>
  <c r="H694" i="5"/>
  <c r="H706" i="5"/>
  <c r="H718" i="5"/>
  <c r="H730" i="5"/>
  <c r="H742" i="5"/>
  <c r="H754" i="5"/>
  <c r="H766" i="5"/>
  <c r="H778" i="5"/>
  <c r="H790" i="5"/>
  <c r="H802" i="5"/>
  <c r="H814" i="5"/>
  <c r="H826" i="5"/>
  <c r="H838" i="5"/>
  <c r="H850" i="5"/>
  <c r="H862" i="5"/>
  <c r="H874" i="5"/>
  <c r="H886" i="5"/>
  <c r="H898" i="5"/>
  <c r="H910" i="5"/>
  <c r="H922" i="5"/>
  <c r="H934" i="5"/>
  <c r="H946" i="5"/>
  <c r="H958" i="5"/>
  <c r="H970" i="5"/>
  <c r="H982" i="5"/>
  <c r="H994" i="5"/>
  <c r="H48" i="5"/>
  <c r="H60" i="5"/>
  <c r="H72" i="5"/>
  <c r="H84" i="5"/>
  <c r="H96" i="5"/>
  <c r="H108" i="5"/>
  <c r="H120" i="5"/>
  <c r="H132" i="5"/>
  <c r="H144" i="5"/>
  <c r="H156" i="5"/>
  <c r="H168" i="5"/>
  <c r="H180" i="5"/>
  <c r="H192" i="5"/>
  <c r="H204" i="5"/>
  <c r="H216" i="5"/>
  <c r="H228" i="5"/>
  <c r="H240" i="5"/>
  <c r="H252" i="5"/>
  <c r="H264" i="5"/>
  <c r="H276" i="5"/>
  <c r="H288" i="5"/>
  <c r="H300" i="5"/>
  <c r="H312" i="5"/>
  <c r="H324" i="5"/>
  <c r="H336" i="5"/>
  <c r="H348" i="5"/>
  <c r="H360" i="5"/>
  <c r="H372" i="5"/>
  <c r="H384" i="5"/>
  <c r="H396" i="5"/>
  <c r="H408" i="5"/>
  <c r="H420" i="5"/>
  <c r="H432" i="5"/>
  <c r="H444" i="5"/>
  <c r="H456" i="5"/>
  <c r="H468" i="5"/>
  <c r="H480" i="5"/>
  <c r="H492" i="5"/>
  <c r="H504" i="5"/>
  <c r="H516" i="5"/>
  <c r="H528" i="5"/>
  <c r="H540" i="5"/>
  <c r="H552" i="5"/>
  <c r="H564" i="5"/>
  <c r="H576" i="5"/>
  <c r="H588" i="5"/>
  <c r="H600" i="5"/>
  <c r="H612" i="5"/>
  <c r="H624" i="5"/>
  <c r="H636" i="5"/>
  <c r="H648" i="5"/>
  <c r="H660" i="5"/>
  <c r="H672" i="5"/>
  <c r="H684" i="5"/>
  <c r="H696" i="5"/>
  <c r="H708" i="5"/>
  <c r="H720" i="5"/>
  <c r="H732" i="5"/>
  <c r="H744" i="5"/>
  <c r="H756" i="5"/>
  <c r="H768" i="5"/>
  <c r="H780" i="5"/>
  <c r="H792" i="5"/>
  <c r="H804" i="5"/>
  <c r="H816" i="5"/>
  <c r="H828" i="5"/>
  <c r="H840" i="5"/>
  <c r="H852" i="5"/>
  <c r="H864" i="5"/>
  <c r="H876" i="5"/>
  <c r="H888" i="5"/>
  <c r="H900" i="5"/>
  <c r="H912" i="5"/>
  <c r="H924" i="5"/>
  <c r="H936" i="5"/>
  <c r="H948" i="5"/>
  <c r="H960" i="5"/>
  <c r="H972" i="5"/>
  <c r="H984" i="5"/>
  <c r="H996" i="5"/>
  <c r="H37" i="5"/>
  <c r="H49" i="5"/>
  <c r="H61" i="5"/>
  <c r="H73" i="5"/>
  <c r="H85" i="5"/>
  <c r="H97" i="5"/>
  <c r="H109" i="5"/>
  <c r="H121" i="5"/>
  <c r="H133" i="5"/>
  <c r="H145" i="5"/>
  <c r="H157" i="5"/>
  <c r="H169" i="5"/>
  <c r="H181" i="5"/>
  <c r="H193" i="5"/>
  <c r="H205" i="5"/>
  <c r="H217" i="5"/>
  <c r="H229" i="5"/>
  <c r="H241" i="5"/>
  <c r="H253" i="5"/>
  <c r="H265" i="5"/>
  <c r="H277" i="5"/>
  <c r="H289" i="5"/>
  <c r="H301" i="5"/>
  <c r="H313" i="5"/>
  <c r="H325" i="5"/>
  <c r="H337" i="5"/>
  <c r="H349" i="5"/>
  <c r="H361" i="5"/>
  <c r="H373" i="5"/>
  <c r="H385" i="5"/>
  <c r="H397" i="5"/>
  <c r="H409" i="5"/>
  <c r="H421" i="5"/>
  <c r="H433" i="5"/>
  <c r="H445" i="5"/>
  <c r="H457" i="5"/>
  <c r="H469" i="5"/>
  <c r="H481" i="5"/>
  <c r="H493" i="5"/>
  <c r="H505" i="5"/>
  <c r="H517" i="5"/>
  <c r="H529" i="5"/>
  <c r="H541" i="5"/>
  <c r="H553" i="5"/>
  <c r="H565" i="5"/>
  <c r="H577" i="5"/>
  <c r="H589" i="5"/>
  <c r="H601" i="5"/>
  <c r="H613" i="5"/>
  <c r="H625" i="5"/>
  <c r="H637" i="5"/>
  <c r="H649" i="5"/>
  <c r="H661" i="5"/>
  <c r="H673" i="5"/>
  <c r="H685" i="5"/>
  <c r="H697" i="5"/>
  <c r="H709" i="5"/>
  <c r="H721" i="5"/>
  <c r="H733" i="5"/>
  <c r="H745" i="5"/>
  <c r="H757" i="5"/>
  <c r="H769" i="5"/>
  <c r="H781" i="5"/>
  <c r="H793" i="5"/>
  <c r="H805" i="5"/>
  <c r="H817" i="5"/>
  <c r="H829" i="5"/>
  <c r="H841" i="5"/>
  <c r="H853" i="5"/>
  <c r="H865" i="5"/>
  <c r="H877" i="5"/>
  <c r="H889" i="5"/>
  <c r="H901" i="5"/>
  <c r="H913" i="5"/>
  <c r="H925" i="5"/>
  <c r="H937" i="5"/>
  <c r="H949" i="5"/>
  <c r="H961" i="5"/>
  <c r="H973" i="5"/>
  <c r="H985" i="5"/>
</calcChain>
</file>

<file path=xl/sharedStrings.xml><?xml version="1.0" encoding="utf-8"?>
<sst xmlns="http://schemas.openxmlformats.org/spreadsheetml/2006/main" count="511" uniqueCount="295">
  <si>
    <t>Timestamp</t>
  </si>
  <si>
    <t>Email Address</t>
  </si>
  <si>
    <t>Untitled Question</t>
  </si>
  <si>
    <t>Nombre visiteurs/stagiaires</t>
  </si>
  <si>
    <t xml:space="preserve">Objet </t>
  </si>
  <si>
    <t>Site  concerné/Secteur Nord</t>
  </si>
  <si>
    <t>Site concerné/ Secteur Centre</t>
  </si>
  <si>
    <t>Site  concerné/ Secteur Sud</t>
  </si>
  <si>
    <t>Lieu de provenance</t>
  </si>
  <si>
    <t>Organisation /Institution de provenance</t>
  </si>
  <si>
    <t>Motif</t>
  </si>
  <si>
    <t>Column 11</t>
  </si>
  <si>
    <t>Date d'arrivée</t>
  </si>
  <si>
    <t xml:space="preserve">Date de départ </t>
  </si>
  <si>
    <t>Heure d'arrivé</t>
  </si>
  <si>
    <t>Heure de départ</t>
  </si>
  <si>
    <t xml:space="preserve">Observation </t>
  </si>
  <si>
    <t>Annexe ( Liste de présence, Photo, etc.)</t>
  </si>
  <si>
    <t xml:space="preserve">Description </t>
  </si>
  <si>
    <t>bbwende@virunga.org</t>
  </si>
  <si>
    <t>Visite</t>
  </si>
  <si>
    <t>Mutsora</t>
  </si>
  <si>
    <t>RAS</t>
  </si>
  <si>
    <t>Beni</t>
  </si>
  <si>
    <t xml:space="preserve">Espace </t>
  </si>
  <si>
    <t xml:space="preserve">Satisfaction </t>
  </si>
  <si>
    <t>https://drive.google.com/open?id=1AVSwrBUB6GiHz3DRRPzGMm1pb-VjnhTU</t>
  </si>
  <si>
    <t>Espace</t>
  </si>
  <si>
    <t>https://drive.google.com/open?id=1R72ufkbCbOPpLwyG_sGzuHrpNeLKlO7m</t>
  </si>
  <si>
    <t>gregoirekambis@gmail.com</t>
  </si>
  <si>
    <t>Stage</t>
  </si>
  <si>
    <t xml:space="preserve">Goma, Butembo </t>
  </si>
  <si>
    <t>UNIGOMA, UCG ET ISEAVF</t>
  </si>
  <si>
    <t>Ras</t>
  </si>
  <si>
    <t>https://drive.google.com/open?id=1DU5cGSefYC3UJxA-EHQ0Uqd1ZvxkcWq_</t>
  </si>
  <si>
    <t>jkalala@virunga.org</t>
  </si>
  <si>
    <t>Recherche</t>
  </si>
  <si>
    <t>Espace Virunga Beni</t>
  </si>
  <si>
    <t xml:space="preserve">Multiple </t>
  </si>
  <si>
    <t>La bibliothèque et l'espace de travail de Virunga offre un cadre aux riverains pour s'émouvoir ; nombreux y passent leur temps pour la lecture des livres , la recherche sur internet, postulent aux offres d'emplois, font de TP, des mémoires, TFC etc</t>
  </si>
  <si>
    <t>https://drive.google.com/open?id=1uZIUPFlrxTE9DU4mWzAdt-WFFSfVtTnN</t>
  </si>
  <si>
    <t>https://drive.google.com/open?id=1RtN7BbabBjB5Tp7nAzjE_Z3Lw4xVydjf</t>
  </si>
  <si>
    <t>https://drive.google.com/open?id=1Z8rYNHqyXf3KaDQxirXEOS2koFTrAt_V</t>
  </si>
  <si>
    <t>https://drive.google.com/open?id=1DQQmgEcB_168st24EUAoavfklS9X0XXX</t>
  </si>
  <si>
    <t>https://drive.google.com/open?id=1qe7SvylVqc0vXl0H_WjyViPU13VklUn6</t>
  </si>
  <si>
    <t>https://drive.google.com/open?id=106gmBhS6D04zgEzzWQU4uWW8QkBjQppg</t>
  </si>
  <si>
    <t>https://drive.google.com/open?id=1VaGJYphUaO8XyQ5CuRyzOX6Ng7d23HOL</t>
  </si>
  <si>
    <t>https://drive.google.com/open?id=1NSkutxzwEvti96tPt-CJgwhWLAg1dBwm</t>
  </si>
  <si>
    <t xml:space="preserve">École Marie Correnson </t>
  </si>
  <si>
    <t xml:space="preserve">ÉCOLE MARIE CORRENSON </t>
  </si>
  <si>
    <t>L'école est venue découvrir les avantages qu'offre le PNVI notamment la bibliothèque gratuite. Elle a aussi bénéficié d'un partage sur l'importance du PNVI dans notre région ; Enthousiasmé par ces avantages, les élèves ont commencé à passer à la bibliothèque pour la lecture !</t>
  </si>
  <si>
    <t>https://drive.google.com/open?id=1FRr3-a1eY1d3fqh48a1h1jhYJ54zuCaY, https://drive.google.com/open?id=1IaSFTcCFMbXynGz2UjlygdPQ9FanD0dz, https://drive.google.com/open?id=1hf1iQdrBrJs6AS47TvIwUPUmZAXNuJJZ</t>
  </si>
  <si>
    <t>Goma</t>
  </si>
  <si>
    <t>Isdr</t>
  </si>
  <si>
    <t xml:space="preserve">Visite satisfaisante </t>
  </si>
  <si>
    <t>https://drive.google.com/open?id=1XB_yCqzP731im52Z_fIGbrVn8lkPIlm0</t>
  </si>
  <si>
    <t xml:space="preserve">RECHERCHE </t>
  </si>
  <si>
    <t>Les visites ce dernier temps sont intenses et nombreux se concentrent énormément au travail que les fois passées!</t>
  </si>
  <si>
    <t>https://drive.google.com/open?id=1zDB74MWZtglRr-nfQa7T4thrcEqA-5oq</t>
  </si>
  <si>
    <t xml:space="preserve">Durant une période de 4 jours ,nous avons reçu une trentaine de visite à l'espace Virunga origins du côté bibliothèque et salle de travail </t>
  </si>
  <si>
    <t>https://drive.google.com/open?id=1fl4iGePg92sSiVReCT9ZJ_oWjGC83t34</t>
  </si>
  <si>
    <t>Nom de l'activité</t>
  </si>
  <si>
    <t>Organisateur</t>
  </si>
  <si>
    <t>Type d'activité</t>
  </si>
  <si>
    <t>Description de l'activité</t>
  </si>
  <si>
    <t>Date de l'activité</t>
  </si>
  <si>
    <t>Durée de l'activité</t>
  </si>
  <si>
    <t>Lieu de l'activité ( Secteur)</t>
  </si>
  <si>
    <t>Préciser le lieu</t>
  </si>
  <si>
    <t>Nombre de participants - Hommes</t>
  </si>
  <si>
    <t>Nombre de participants - Femmes</t>
  </si>
  <si>
    <t>Nombre de participants - Enfants</t>
  </si>
  <si>
    <t>Acquis et résultats de l'activité</t>
  </si>
  <si>
    <t>Pièce jointe</t>
  </si>
  <si>
    <t>Membres de l'équipe</t>
  </si>
  <si>
    <t>Messages Clés</t>
  </si>
  <si>
    <t>Fait marquant</t>
  </si>
  <si>
    <t>Suggestions et recommandations clés</t>
  </si>
  <si>
    <t>jisango@virunga.org</t>
  </si>
  <si>
    <t xml:space="preserve">Cérémonie  officielle </t>
  </si>
  <si>
    <t>Ville de Goma</t>
  </si>
  <si>
    <t>Cérémonie officielle</t>
  </si>
  <si>
    <t xml:space="preserve">La cérémonie officielle journée de l’arbre </t>
  </si>
  <si>
    <t>1 h - 2 h</t>
  </si>
  <si>
    <t>Sud</t>
  </si>
  <si>
    <t xml:space="preserve">Journée de Nation Unies </t>
  </si>
  <si>
    <t xml:space="preserve">Séance éducative et CoCo / Secteur Centre </t>
  </si>
  <si>
    <t>Parc National des Virunga</t>
  </si>
  <si>
    <t>Sensibilisation</t>
  </si>
  <si>
    <t>Educ Envir &amp; COCO : les leaders communautaires de Nyamilima et Ishasha ont été sensibilisés sur la nécessité et le rôle qu’ils sont appelés à jouer dans la préservation des écosystèmes et la sauvegarde du PNVi. A l’issue de ces séances, ces représentants de différentes couches de la population dont les cadres de base ont accepté de s’impliquer activement dans la protection du PNVi et de s’approprier l’ensemble du programme Alliance Virunga. A Nyamilima par exemple, ils ont pris l’engagement de collaborer avec le parc en sensibilisant à leur tour pour décourager toutes les activités incompatibles avec la conservation, de participer à la protection de la clôture électrique et les équipements du projet de l’électricité. Plusieurs recommandations ont été formulées pour consolider cette stratégie de communication de proximité.</t>
  </si>
  <si>
    <t>Centre</t>
  </si>
  <si>
    <t xml:space="preserve">Nyamilima </t>
  </si>
  <si>
    <t>NYAMILIMA
67 leaders communautaires dont les cadres de base, les représentants des associations féminines, de la jeunesse, des petits commerces et agriculteurs ont été informés sur les défis de la conservation au PNVi spécialement dans le gpment Binza. Les participants se sont engagés à jouer un rôle primordial dans la sensibilisation des riverains en faveur de la préservation des valeurs écologiques du PNVi ; Les participants se sont engagés à sensibiliser contre les menaces et les conséquences des activités incompatibles avec la conservation dans le secteur centre du PNVi ; Les participants et l’équipe EE &amp; COCO Centre ont pris l’engagement de multiplier ces genres de séances pour renforcer la communication de proximité afin d’améliorer le climat de collaboration avec les populations riveraines en vue d’une bonne conservation communautaire.</t>
  </si>
  <si>
    <t>https://drive.google.com/open?id=1ESNufVdmGDyP4nOurEhz0wbaTtIB363A</t>
  </si>
  <si>
    <t xml:space="preserve">Olivier Mukisya, JB Bichamakara , Katya Katondolo, Joelle Isango </t>
  </si>
  <si>
    <t>Séance éducative et CoCo/ Secteur Centre</t>
  </si>
  <si>
    <t>Educ Envir &amp; COCO : les leaders communautaires d’ Ishasha ont été sensibilisés sur la nécessité et le rôle qu’ils sont appelés à jouer dans la préservation des écosystèmes et la sauvegarde du PNVi. A l’issue de ces séances, ces représentants de différentes couches de la population dont les cadres de base ont accepté de s’impliquer activement dans la protection du PNVi et de s’approprier l’ensemble du programme Alliance Virunga.</t>
  </si>
  <si>
    <t>Ishasha</t>
  </si>
  <si>
    <t>ISHASHA
82 leaders communautaires dont les cadres de base, les représentants des associations féminines, de la jeunesse, des petits commerces et agriculteurs ont été informés sur les défis de la conservation au PNVi spécialement dans le gpment Binza. Les participants se sont engagés à jouer un rôle primordial dans la sensibilisation des riverains en faveur de la préservation des valeurs écologiques du PNVi ; Les participants se sont engagés à sensibiliser contre les menaces et les conséquences des activités incompatibles avec la conservation dans le secteur centre du PNVi ; Les participants et l’équipe EE &amp; COCO Centre ont pris l’engagement de multiplier ces genres de séances pour renforcer la communication de proximité afin d’améliorer le climat de collaboration avec les populations riveraines en vue d’une bonne conservation communautaire.</t>
  </si>
  <si>
    <t>https://drive.google.com/open?id=1o01QR96INcPY0ueOKrHqJJ3jG37AJjeY</t>
  </si>
  <si>
    <t xml:space="preserve">Olivier Mukisya, Joelle Isango, Katya Katondolo, JB Bichamakara </t>
  </si>
  <si>
    <t>Conservation durable du PNVi, Cohabitation pacifique, dévéloppement des rivérains</t>
  </si>
  <si>
    <t>Kwetu Nature</t>
  </si>
  <si>
    <t>Conférence</t>
  </si>
  <si>
    <t xml:space="preserve">Cette activité organisé par Kwetu Nature s’incrit dans la sensibilisation des riverains du parc pour la sauvegarde de ce patrimoine.  Elle est la suite des actions de sensibilisation lancées depuis le centenaire du PNVi. Les jeunes sont les plus représentés dans l’activité </t>
  </si>
  <si>
    <t>2 h - 3 h</t>
  </si>
  <si>
    <t>Nord</t>
  </si>
  <si>
    <t>Kyavinyonge</t>
  </si>
  <si>
    <t xml:space="preserve">Renforcement des liens avec la population de Kyavinyonge en cette periode où le parc est victime des campagnes de bashing, Lever des zones d'ombres sur les actions du PNVi, 
</t>
  </si>
  <si>
    <t>https://drive.google.com/open?id=1Oqu5lUgxksMsow2Dz7jS6w234MjTHTR4</t>
  </si>
  <si>
    <t>Kitakya Eric, Landry, Bienvenu Bwende, Bikanza, Gregoire Banyanito</t>
  </si>
  <si>
    <t>- Le secteur Nord du PNVi regorge de richesses en biodiversité 
- La conservation du Parc est plus bénéfique que la destruction de la biodiversité 
- La cohabitation pacifique entre le Parc et les riverains contribue à l'apaisement et au développement notamment dans les pêcheries 
- Le PNVi est permis les principaux pourvoyeurs d'emploi dans la province grâce à l'AV
- Le lac eduard est une ressources importantes si bien geré</t>
  </si>
  <si>
    <t xml:space="preserve">Participation du chef de village, des présidents de la Sociv, de la jeunesse et des associations feminines </t>
  </si>
  <si>
    <t xml:space="preserve">Formation des "reservistes" Ecogardes parmis les jeunes de Kyavinyonge </t>
  </si>
  <si>
    <t>Lancement de la construction du FOB MBAU</t>
  </si>
  <si>
    <t xml:space="preserve">Le lancement des travaux a été marqué par un salongo communautaire spécial ayant mobilisé massivement la population de Mbau et d’Oicha pour la préparation du site qui abritera les futures infrastructures du FOB.Cette activité s’inscrit dans le cadre du projet du Couloir Vert Kivu–Kinshasa, une initiative qui vise à combiner sécurité, développement communautaire et conservation.
</t>
  </si>
  <si>
    <t>Plus de 6 h</t>
  </si>
  <si>
    <t>Kelekele/Mbau</t>
  </si>
  <si>
    <t xml:space="preserve">Adhésion communautaire et appropriation du projet par les communautés locales, visibilité accrue de l’ICCN et L’UE, Consolidation des relations entre ICCN et les communautés </t>
  </si>
  <si>
    <t>https://drive.google.com/open?id=1HTtasZAW3XLCmeK5_HLJozrqX9YdbbaE</t>
  </si>
  <si>
    <t xml:space="preserve">Jérôme Lombard, Fabien Olengabo, Bienvenu BWENDE,  JC Bambanze, Merdi Baraka, Conservateur Fils </t>
  </si>
  <si>
    <t xml:space="preserve">Le FOB est un dispositif qui allie sécurité,  développement et formation des jeunes; Il va couvrir Mbau,  Oicha et les environs; c’est une opportunité d'emploi pour les jeunes; Nécessité d'appropriation du projet par les populations locales </t>
  </si>
  <si>
    <t xml:space="preserve">Forte mobilisation,  présence des chefs locaux et cadres de base, quasiment toute la surface du site du projet défricher </t>
  </si>
  <si>
    <t xml:space="preserve">Indemnisation des cultures détruites, favoriser les jeunes locaux pour les emplois </t>
  </si>
  <si>
    <t>Remise de la ration à la prison de Kangbayi</t>
  </si>
  <si>
    <t xml:space="preserve">Appui humanitaire </t>
  </si>
  <si>
    <t>À la suite des recommandations formulées lors de l’atelier du 27 novembre 2024 sur la problématique des décès à la prison urbaine de Beni, organisé par l’Unité d’Appui à l’Administration Pénitentiaire en collaboration avec la Section d’Appui à la Justice et présidé par le Maire de la ville de Beni, plusieurs institutions et partenaires ont été appelés à contribuer à l’amélioration des conditions carcérales des détenus de la Prison Centrale de Kangbayi.
C’est dans ce contexte que l’ICCN, à travers le Parc National des Virunga (PNVi), a organisé la présente mission humanitaire de remise d’un lot de vivres destinés à la ration alimentaire des détenus de la Prison Centrale de Kangbayi.</t>
  </si>
  <si>
    <t>Kangbayi/Beni</t>
  </si>
  <si>
    <t xml:space="preserve">Forte reconnaissance des gestionnaire de la prison; Geste salué par les communautés dans un moment de tension alimentés par les rumeurs ; </t>
  </si>
  <si>
    <t>https://drive.google.com/open?id=1UHcALjnjbQAOtRT91C_TzlJM5n5J0eQw</t>
  </si>
  <si>
    <t xml:space="preserve">Kitakya Eric, Bienvenu BWENDE,  Paluku Bikanza, Kaley Grace </t>
  </si>
  <si>
    <t xml:space="preserve">L’ICCN reste aux côtés des vulnérables; </t>
  </si>
  <si>
    <t xml:space="preserve">Visite des prisonnier </t>
  </si>
  <si>
    <t xml:space="preserve">Poursuivre la dynamique régulièrement </t>
  </si>
  <si>
    <t>7 ARTS PLUS du 2 Fevrier 2025</t>
  </si>
  <si>
    <t>Activité Culturelle</t>
  </si>
  <si>
    <t>7 arts Plus est une activité culturelle de promotion des artistes locaux émergents, elle est une activité hebdomadaire organisée chaque jeudi à l'Espace Virunga Origins par le PNVI et 4 groupes culturels des jeunes de BENI ville</t>
  </si>
  <si>
    <t>3 h - 4 h</t>
  </si>
  <si>
    <t>ESPACE VIRUNGA ORIGINS</t>
  </si>
  <si>
    <t>8O</t>
  </si>
  <si>
    <t>De jeunes issu des différents coins de la ville de Beni se ruent à l'espace virunga chaque jeudi pour évoluer avec leur talent</t>
  </si>
  <si>
    <t>https://drive.google.com/open?id=1s9lV9frRxIH0MJ__aY3hkgNLI-kJF71i</t>
  </si>
  <si>
    <t>Jeff SUDI</t>
  </si>
  <si>
    <t>Promotion de la Culture et de l'Art</t>
  </si>
  <si>
    <t>Le territoire de Beni et la ville de Butembo commence aussi à venir à l'espace virunga pour saisir l'opportunité de se faire vilgarisé à travers 7 arts plus</t>
  </si>
  <si>
    <t>l'activité souffre en ce jour de manque de moyen pour son ascension, notamment les instruments sonores, des instruments de musique et des visibilités imprimées</t>
  </si>
  <si>
    <t xml:space="preserve">7 ARTS PLUS </t>
  </si>
  <si>
    <t>ACTIVITE CULTURELLE</t>
  </si>
  <si>
    <t>Espace Virunga Origins</t>
  </si>
  <si>
    <t>L'ACTIVITE A REUNI ENVIRON 20 GUITARISTES DE LA VILLE QUI ONT PASSE UN MESSAGE D'UNION DANS L'ART A BENI</t>
  </si>
  <si>
    <t>https://drive.google.com/open?id=1L_5tXXT2Aej0sEOPicR9qXqGpclVneSO</t>
  </si>
  <si>
    <t>JEFF SUDI</t>
  </si>
  <si>
    <t>PROMOTION LES ARTS LOCAUX COMME JAMAIS AUPARAVANT: LA GUITARE AU SERVICE DE L ART LOCAL</t>
  </si>
  <si>
    <t>UNE FILLE GUITARISTE ISSUE DE L'EGLISE ARCHE A ÉBLOUI TOUT LE MONDE AVEC SA MAÎTRISE DE L'INSTRUMENT</t>
  </si>
  <si>
    <t xml:space="preserve">7 Arts Plus </t>
  </si>
  <si>
    <t xml:space="preserve">Activité Culturelle </t>
  </si>
  <si>
    <t xml:space="preserve">Réussite de l'activité malgré les difficultés car les jeunes restent résistant </t>
  </si>
  <si>
    <t xml:space="preserve">Promotion d'artistes émergents </t>
  </si>
  <si>
    <t xml:space="preserve">ESPACE VIRUNGA ORIGINS </t>
  </si>
  <si>
    <t xml:space="preserve">Production de 11 arts émergents de la ville de BENI dont 3 filles et 8 garçons </t>
  </si>
  <si>
    <t>https://drive.google.com/open?id=1OBUinkp4FL1WH9Dah0MBy9pMfXkintjx</t>
  </si>
  <si>
    <t xml:space="preserve">L'arts pour tous , </t>
  </si>
  <si>
    <t>Un artiste de Ngadi a tiré l'attention de tous par sa présence et son dévouement à l'art</t>
  </si>
  <si>
    <t xml:space="preserve">DOTATION DE MOYEN ADÉQUAT POUR L'AMÉLIORATION DES CONDITIONS DE L'ACTIVITÉ QUI PORTE L'ACTIVITÉ DANS LE MILIEU DE JEUNE DE LA RÉGION </t>
  </si>
  <si>
    <t xml:space="preserve">Visite de l'Espace VIRUNGA </t>
  </si>
  <si>
    <t>Marie Correnson</t>
  </si>
  <si>
    <t xml:space="preserve">Visite Guidée </t>
  </si>
  <si>
    <t>La Visite Guidée est une activité qui permet aux écoles de découvrir le PNVI à travers l'espace VIRUNGA, les responsables d'école en collaboration avec l'assistant EE Secteur Nord s'attendent sur une date pour faire découvrir, la bibliothèque, l'espace de travail, la salle polyvalente, l'espace Virunga, les activités du PNVI son importance, les agents qui le protègent et leur rôle etc.</t>
  </si>
  <si>
    <t>5 h - 6 h</t>
  </si>
  <si>
    <t xml:space="preserve">Espace Virunga </t>
  </si>
  <si>
    <t xml:space="preserve">Depuis la visite, les élèves de l'école arrivent régulièrement à la bibliothèque </t>
  </si>
  <si>
    <t>https://drive.google.com/open?id=10lijW3IYcU73Z7yfvP5yk1DMQrxoBgIK</t>
  </si>
  <si>
    <t xml:space="preserve">Jeff SUDI </t>
  </si>
  <si>
    <t>Importance de la bibliothèque aux élèves et la nécessité de protéger un parc</t>
  </si>
  <si>
    <t xml:space="preserve">Il faut ajouter les documentaires sur le PNVI </t>
  </si>
  <si>
    <t>Restitution et validation de résultats du rapport technique de la commission sur le limites du PNVi dans le Beni</t>
  </si>
  <si>
    <t>Atelier</t>
  </si>
  <si>
    <t xml:space="preserve">Cet atelier vise à présenter le rapport technique des experts aux reste des membres de la commission afin que ces dernier en prennent connaissance et le valide. Une fois validé ce rapport va être soumis au gouverneur de province qui prévoit de convoquer un atelier élargie pour les présenter et proposer des solutions pour régler le conflit des limites du PNVi dans le territoire de Beni </t>
  </si>
  <si>
    <t xml:space="preserve">Beni ville </t>
  </si>
  <si>
    <t xml:space="preserve">Rapport présenté à la commission ; recommandations récoltées et seront intégré dans le rapport; La commission contente du travail effectuée par les experts </t>
  </si>
  <si>
    <t>https://drive.google.com/open?id=1zHqJ4qQbd2VoKVAB_tOfImZTz3AKloW4</t>
  </si>
  <si>
    <t xml:space="preserve">Méthode Uhoze; Bienvenu BWENDE </t>
  </si>
  <si>
    <t>Presentation des résultats segment par segment et carte à l’appui; La commission doit prendre conscience de la responsabilité qui lui incombe pour la résolution; Ce rapport va permettre à l’autorité et aux autres acteurs de prendre des décisions pour résoudre les différents conflits</t>
  </si>
  <si>
    <t>Débats parfois houleux notamment sur Mayangose; réunion prolongé sur 2 jours au lieu d'un jour prévu à l'avance; prochaine rencontre prévue le samedi 8/11</t>
  </si>
  <si>
    <t>Prendre en compte les points présentés par les communautés sur terrain dans le rapport ; Souligné les lacunes contenus dans la loi de delimitant le parc</t>
  </si>
  <si>
    <t>Atelier de validation du rapport technique de la commission de clarification des limites du PNVi (suite)</t>
  </si>
  <si>
    <t>Suite de la présentation du rapport par les experts et intégration des recommandations formulés lors de la réunion du lundi à Mardi</t>
  </si>
  <si>
    <t>4 h - 5 h</t>
  </si>
  <si>
    <t>Rapprochement des positions des membres de la commission ; ramassage de plus de recommandations ; Éclairci sur le rapport final</t>
  </si>
  <si>
    <t>https://drive.google.com/open?id=1ASOPZslHFcNvTJobdjY7pIZCjA8MikE-</t>
  </si>
  <si>
    <t xml:space="preserve">Methode Uhoze; Bienvenu BWENDE </t>
  </si>
  <si>
    <t xml:space="preserve">Finalisation du rapport et transmission prochaine au president de la commission puis au Gouverneur; les prochaines actions seront communiquées par le président de la commission </t>
  </si>
  <si>
    <t xml:space="preserve">Faible participation des membres de la commission; </t>
  </si>
  <si>
    <t xml:space="preserve">Visite Bibliothèque et Recherche </t>
  </si>
  <si>
    <t>Collectif BEN'ART</t>
  </si>
  <si>
    <t xml:space="preserve">Concours </t>
  </si>
  <si>
    <t>Le concours de génies en herbe est une activité organisée par le collectif BEN'ART pendant deux jours pour tester le niveau d'implication des écoles vis à vis du PNVI après un long moment de silence !
Cette activité a mis en compétition 5 écoles de la ville sur les matières suivantes : code de famille, PNVI , culture générale, epellation, cantonade, lecture et dictée.</t>
  </si>
  <si>
    <t xml:space="preserve">Une participation massive des élèves et une promesse d'être toujours prêt à participer aux activités du PNVI et des ces partenaires </t>
  </si>
  <si>
    <t>https://drive.google.com/open?id=1_En-7ajrVE4V_FvdcY3o8Zk2auDoOYsR</t>
  </si>
  <si>
    <t xml:space="preserve">JEFF SUDI </t>
  </si>
  <si>
    <t>Connaitre ces droits et devoirs pour mieux protéger le PNVI</t>
  </si>
  <si>
    <t>Le PNVI devrait organiser régulièrement ces genres d'activités ou encourager ces partenaires de le faire , d'abord dans tout le secteur Nord et couronner les meilleurs par une visite dans le PNVI</t>
  </si>
  <si>
    <t xml:space="preserve">Finale Génies en Herbe </t>
  </si>
  <si>
    <t xml:space="preserve">Collectif BEN'ART </t>
  </si>
  <si>
    <t xml:space="preserve">Espace Virunga origins </t>
  </si>
  <si>
    <t xml:space="preserve">Engagement des écoles aux luttes du PNVI et de ces partenaires </t>
  </si>
  <si>
    <t>https://drive.google.com/open?id=1P3DctiT6Zk8NlG-Fxri0t2T8LHm99Pfu</t>
  </si>
  <si>
    <t xml:space="preserve">Connaitre ces droits et devoirs pour mieux protéger le PNVI </t>
  </si>
  <si>
    <t xml:space="preserve">RAS </t>
  </si>
  <si>
    <t xml:space="preserve">Que le PNVI s'engage activement dans les genres d'événements </t>
  </si>
  <si>
    <t xml:space="preserve">Réunion préparatifs </t>
  </si>
  <si>
    <t>Réunion</t>
  </si>
  <si>
    <t>Reunion préparatifs avec les autorités de la pêcherie, les Directeur, les comptable…..</t>
  </si>
  <si>
    <t>Moins d' 1h</t>
  </si>
  <si>
    <t>Nyakakoma</t>
  </si>
  <si>
    <t>Une vision commune a été rétablie entre la pêcherie…. et le parc pour préparer efficacement la journée du 20 nov</t>
  </si>
  <si>
    <t>https://drive.google.com/open?id=1n8ozAqRMJbiUDRJ-KnzvBEVHN8ypH2sh</t>
  </si>
  <si>
    <t xml:space="preserve">Five Grégoire , Five Martin , Coco Jean Bosco BICHAMAKARA, Joelle Isango, </t>
  </si>
  <si>
    <t>Renforcer notre coordination pour une gestion responsable et harmonieuse de la pêcherie à Nyakakoma</t>
  </si>
  <si>
    <t xml:space="preserve">La bonne ambiance, l’ambiance de paix </t>
  </si>
  <si>
    <t>La bonne déroulement de l’activité du 20</t>
  </si>
  <si>
    <t>Séance éducative entre L’ICCN et la communauté de Nyakakoma</t>
  </si>
  <si>
    <t>Cette activité est une séance éducative entre L’ICCN et la communauté de Nyakakoma pour renforcer la compréhension et la collaboration dans la protection du Parc. Elle vise à sensibiliser la population sur les défis du parc, la clôture électrique et les projets communautaires comme forage et le biogaz</t>
  </si>
  <si>
    <t xml:space="preserve">Nyakakoma </t>
  </si>
  <si>
    <t xml:space="preserve">Meilleure compréhension du rôle de L’ICCN renforcement de la collaboration avec la communauté, sensibilisation réussie sur la clôture électrique et les projets de forage et biogaz </t>
  </si>
  <si>
    <t>https://drive.google.com/open?id=1LKQhb-57-5kfbZWdAju8LwKwjG6i9KIx</t>
  </si>
  <si>
    <t xml:space="preserve">JEAN BOSCO BICHAMAKARA, Olivier Mukisya, Joelle Isango , Katya Emmanuel </t>
  </si>
  <si>
    <t xml:space="preserve">Protéger virunga est notre responsabilité commune, ensemble, Communauté et ICCN nous assurons la sécurité et l’avenir de Nyakakoma </t>
  </si>
  <si>
    <t>Participation active et engagement renforcé pour protéger Virunga</t>
  </si>
  <si>
    <t>Renforcer la gestion participative en impliquant d’avantage la communauté dans les projets du Parc. Encourager les respect des règles, la protection de la nature et la collaboration continue avec L’ICCN</t>
  </si>
  <si>
    <t xml:space="preserve">Notre arrivée à Nyakakoma et présentation de civilité auprès des autorités de la place </t>
  </si>
  <si>
    <t xml:space="preserve">Respect et salutation </t>
  </si>
  <si>
    <t xml:space="preserve">Contact respectueux établi et coopération renforcée avec les autorités </t>
  </si>
  <si>
    <t>https://drive.google.com/open?id=1-a9ojtD5sKEJCclPiPLhLBJZJQ07JuV8</t>
  </si>
  <si>
    <t xml:space="preserve">Joelle Isango, Jean Bosco BICHAMAKARA, Katya Emmanuel, John ingénieur , Five Grégoire, Five Martin </t>
  </si>
  <si>
    <t xml:space="preserve">Reconnaissance et respect : Nous valorisons leur rôle et leur autorité dans la gestion de la pêcherie </t>
  </si>
  <si>
    <t xml:space="preserve">Accueil chaleureux des autorités et communication claire de notre arrivée dans la pêcherie </t>
  </si>
  <si>
    <t xml:space="preserve">Maintenir le respect des autorités, informer systématiquement de nos activités et renforcer la collaboration pour une gestion harmonieuse de la pêcherie. </t>
  </si>
  <si>
    <t>Réunions préparatifs avec les autorités de la pêcherie, le Directeur de la pêcherie….</t>
  </si>
  <si>
    <t>Renforcer notre coordination pour une gestion responsable et harmonieuse de la pêcherie à Nyakakoma et préparer ensemble la journée de l’activité du 20 Novembre 2025</t>
  </si>
  <si>
    <t xml:space="preserve">Une vision commune a été établie entre la pêcherie et le Parc </t>
  </si>
  <si>
    <t>https://drive.google.com/open?id=1lr4YdJwyEbWl4sbxknfrh_ZVxrm_Nui2</t>
  </si>
  <si>
    <t xml:space="preserve">Five Grégoire, Five Martin, Jean Bosco Bichamakara , Joelle Isango, Katya Katondolo, Olivier Mukisya et John ingénieur </t>
  </si>
  <si>
    <t xml:space="preserve">Renforcer la collaboration avec les autorités, garantir une preparation efficace </t>
  </si>
  <si>
    <t xml:space="preserve">Collaboration renforcée </t>
  </si>
  <si>
    <t xml:space="preserve">Respecter les autorités et maintenir une communication claire </t>
  </si>
  <si>
    <t xml:space="preserve">Séance éducative avec les femmes de la pêcherie de Nyakakoma </t>
  </si>
  <si>
    <t>Une séance d’écoute avec les femmes de Nyakakoma pour valoriser leur rôle dans la conservation communautaire.</t>
  </si>
  <si>
    <t xml:space="preserve">Meilleur compréhension du rôle de la femme , engagement renforcé et identification de leur priorité pour la conservation </t>
  </si>
  <si>
    <t>https://drive.google.com/open?id=1WER361cS8JvsEgJebMoDucHzeT_uPGmp</t>
  </si>
  <si>
    <t xml:space="preserve">Five Grégoire, Five Martin , Joelle Isango , Olivier Mukisya, Jean bosco Bichamakara, Katya Katondolo </t>
  </si>
  <si>
    <t>Renforcer  l’implication des femmes dans la conservation communautaire à travers l’écoute , le dialoguer  et leur  participation active</t>
  </si>
  <si>
    <t xml:space="preserve">La forte participation des femmes qui ont exprimé avec clarté leur preoccupation et leur volonté de s’impliquer davantage dans la conservation </t>
  </si>
  <si>
    <t xml:space="preserve">Renforcer l’accompagnement des femmes de Nyakakoma par des séances régulières des dialogues d’écoute… afin de soutenir leurs participations active et durable dans la conservation communautaire </t>
  </si>
  <si>
    <t>Total Participants</t>
  </si>
  <si>
    <t>Lieu</t>
  </si>
  <si>
    <t>Mois</t>
  </si>
  <si>
    <t>Total Activités</t>
  </si>
  <si>
    <t>Organisateurs</t>
  </si>
  <si>
    <t>Lieux Couverts</t>
  </si>
  <si>
    <t>Activités Ce Mois</t>
  </si>
  <si>
    <t>Activités</t>
  </si>
  <si>
    <t>Type</t>
  </si>
  <si>
    <t>DASHBOARD ACTIVITÉS - PARC NATIONAL DES VIRUNGA</t>
  </si>
  <si>
    <t>Système de Suivi des Activités - Relations Extérieures</t>
  </si>
  <si>
    <t>INDICATEURS CLÉS DE PERFORMANCE (KPI)</t>
  </si>
  <si>
    <t>KPI</t>
  </si>
  <si>
    <t>Valeur</t>
  </si>
  <si>
    <t>Moy. Participants/Act.</t>
  </si>
  <si>
    <t>Organisateurs Uniques</t>
  </si>
  <si>
    <t>Types d'Activités</t>
  </si>
  <si>
    <t>Secteurs Actifs</t>
  </si>
  <si>
    <t>FILTRES INTERACTIFS</t>
  </si>
  <si>
    <t>Organisateur:</t>
  </si>
  <si>
    <t>Tous</t>
  </si>
  <si>
    <t>Type d'activité:</t>
  </si>
  <si>
    <t>Secteur:</t>
  </si>
  <si>
    <t>Période:</t>
  </si>
  <si>
    <t>Utilisez les listes déroulantes pour filtrer les données. Sélectionnez "Tous" pour afficher toutes les données.</t>
  </si>
  <si>
    <t>TOP 10 ORGANISATEURS</t>
  </si>
  <si>
    <t>RÉPARTITION PAR TYPE D'ACTIVITÉ</t>
  </si>
  <si>
    <t>Participants</t>
  </si>
  <si>
    <t>Moy./Act.</t>
  </si>
  <si>
    <t>%</t>
  </si>
  <si>
    <t>TOP 10 LIEUX LES PLUS FRÉQUENTÉS</t>
  </si>
  <si>
    <t>ÉVOLUTION MENSUELLE (6 DERNIERS MOIS)</t>
  </si>
  <si>
    <t>Secteur</t>
  </si>
  <si>
    <t>PERFORMANCE PAR SECTEUR</t>
  </si>
  <si>
    <t>Lieux</t>
  </si>
  <si>
    <t>Types Act.</t>
  </si>
  <si>
    <t>Part %</t>
  </si>
  <si>
    <t>Dernière mise à jour: 10/11/2025 à 23:48:12</t>
  </si>
  <si>
    <t>Nombre Activites</t>
  </si>
  <si>
    <t>Date Archive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</si>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</sst>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0.0"/>
    <numFmt numFmtId="166" formatCode="0.0%"/>
  </numFmts>
  <fonts count="17">
    <font>
      <sz val="10"/>
      <color rgb="FF000000"/>
      <name val="Arial"/>
      <scheme val="minor"/>
    </font>
    <font>
      <sz val="10"/>
      <color theme="1"/>
      <name val="Arial"/>
      <scheme val="minor"/>
    </font>
    <font>
      <u/>
      <sz val="10"/>
      <color rgb="FF0000FF"/>
      <name val="Roboto"/>
    </font>
    <font>
      <u/>
      <sz val="10"/>
      <color rgb="FF0000FF"/>
      <name val="Roboto"/>
    </font>
    <font>
      <b/>
      <sz val="10"/>
      <color rgb="FFFFFFFF"/>
      <name val="Arial"/>
      <scheme val="minor"/>
    </font>
    <font>
      <b/>
      <sz val="14"/>
      <color rgb="FFFFFFFF"/>
      <name val="Arial"/>
      <scheme val="minor"/>
    </font>
    <font>
      <b/>
      <sz val="18"/>
      <color rgb="FFFFFFFF"/>
      <name val="Arial"/>
      <scheme val="minor"/>
    </font>
    <font>
      <b/>
      <sz val="10"/>
      <color theme="1"/>
      <name val="Arial"/>
      <scheme val="minor"/>
    </font>
    <font>
      <sz val="10"/>
      <name val="Arial"/>
    </font>
    <font>
      <i/>
      <sz val="12"/>
      <color rgb="FFFFFFFF"/>
      <name val="Arial"/>
      <scheme val="minor"/>
    </font>
    <font>
      <b/>
      <sz val="14"/>
      <color theme="1"/>
      <name val="Arial"/>
      <scheme val="minor"/>
    </font>
    <font>
      <b/>
      <sz val="14"/>
      <color rgb="FF000000"/>
      <name val="Arial"/>
      <scheme val="minor"/>
    </font>
    <font>
      <i/>
      <sz val="10"/>
      <color theme="1"/>
      <name val="Arial"/>
      <scheme val="minor"/>
    </font>
    <font>
      <b/>
      <i/>
      <sz val="10"/>
      <color theme="1"/>
      <name val="Arial"/>
      <scheme val="minor"/>
    </font>
    <font>
      <i/>
      <sz val="10"/>
      <color rgb="FF666666"/>
      <name val="Arial"/>
      <scheme val="minor"/>
    </font>
    <font>
      <b/>
      <sz val="13"/>
      <color rgb="FFFFFFFF"/>
      <name val="Arial"/>
      <scheme val="minor"/>
    </font>
    <font>
      <b/>
      <sz val="13"/>
      <color rgb="FF000000"/>
      <name val="Arial"/>
      <scheme val="minor"/>
    </font>
  </fonts>
  <fills count="10">
    <fill>
      <patternFill patternType="none"/>
    </fill>
    <fill>
      <patternFill patternType="gray125"/>
    </fill>
    <fill>
      <patternFill patternType="solid">
        <fgColor rgb="FFFF8C42"/>
        <bgColor rgb="FFFF8C42"/>
      </patternFill>
    </fill>
    <fill>
      <patternFill patternType="solid">
        <fgColor rgb="FFEF7D00"/>
        <bgColor rgb="FFEF7D00"/>
      </patternFill>
    </fill>
    <fill>
      <patternFill patternType="solid">
        <fgColor rgb="FF007D7D"/>
        <bgColor rgb="FF007D7D"/>
      </patternFill>
    </fill>
    <fill>
      <patternFill patternType="solid">
        <fgColor rgb="FF00A87D"/>
        <bgColor rgb="FF00A87D"/>
      </patternFill>
    </fill>
    <fill>
      <patternFill patternType="solid">
        <fgColor rgb="FF2C3E50"/>
        <bgColor rgb="FF2C3E50"/>
      </patternFill>
    </fill>
    <fill>
      <patternFill patternType="solid">
        <fgColor rgb="FFF8F9FA"/>
        <bgColor rgb="FFF8F9FA"/>
      </patternFill>
    </fill>
    <fill>
      <patternFill patternType="solid">
        <fgColor rgb="FFDCDF00"/>
        <bgColor rgb="FFDCDF00"/>
      </patternFill>
    </fill>
    <fill>
      <patternFill patternType="solid">
        <fgColor rgb="FFE8F4FD"/>
        <bgColor rgb="FFE8F4F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2"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3" fillId="0" borderId="0" xfId="0" applyFont="1" applyAlignment="1">
      <alignment vertical="center"/>
    </xf>
    <xf numFmtId="0" fontId="1" fillId="0" borderId="0" xfId="0" applyFont="1" applyAlignment="1">
      <alignment vertical="center"/>
    </xf>
    <xf numFmtId="0" fontId="1" fillId="0" borderId="0" xfId="0" applyFont="1"/>
    <xf numFmtId="0" fontId="4" fillId="6" borderId="1" xfId="0" applyFont="1" applyFill="1" applyBorder="1" applyAlignment="1">
      <alignment horizontal="center"/>
    </xf>
    <xf numFmtId="0" fontId="7" fillId="7" borderId="1" xfId="0" applyFont="1" applyFill="1" applyBorder="1" applyAlignment="1"/>
    <xf numFmtId="3" fontId="10" fillId="0" borderId="1" xfId="0" applyNumberFormat="1" applyFont="1" applyBorder="1" applyAlignment="1">
      <alignment horizontal="center"/>
    </xf>
    <xf numFmtId="0" fontId="10" fillId="7" borderId="1" xfId="0" applyFont="1" applyFill="1" applyBorder="1" applyAlignment="1">
      <alignment horizontal="center"/>
    </xf>
    <xf numFmtId="165" fontId="10" fillId="0" borderId="1" xfId="0" applyNumberFormat="1" applyFont="1" applyBorder="1" applyAlignment="1">
      <alignment horizontal="center"/>
    </xf>
    <xf numFmtId="0" fontId="7" fillId="0" borderId="0" xfId="0" applyFont="1" applyAlignment="1"/>
    <xf numFmtId="0" fontId="12" fillId="9" borderId="0" xfId="0" applyFont="1" applyFill="1" applyAlignment="1"/>
    <xf numFmtId="0" fontId="13" fillId="9" borderId="0" xfId="0" applyFont="1" applyFill="1" applyAlignment="1"/>
    <xf numFmtId="0" fontId="1" fillId="0" borderId="0" xfId="0" applyFont="1"/>
    <xf numFmtId="0" fontId="4" fillId="6" borderId="1" xfId="0" applyFont="1" applyFill="1" applyBorder="1" applyAlignment="1"/>
    <xf numFmtId="3" fontId="4" fillId="6" borderId="1" xfId="0" applyNumberFormat="1" applyFont="1" applyFill="1" applyBorder="1" applyAlignment="1"/>
    <xf numFmtId="165" fontId="4" fillId="6" borderId="1" xfId="0" applyNumberFormat="1" applyFont="1" applyFill="1" applyBorder="1" applyAlignment="1"/>
    <xf numFmtId="0" fontId="1" fillId="0" borderId="1" xfId="0" applyFont="1" applyBorder="1"/>
    <xf numFmtId="3" fontId="1" fillId="0" borderId="1" xfId="0" applyNumberFormat="1" applyFont="1" applyBorder="1"/>
    <xf numFmtId="165" fontId="1" fillId="0" borderId="1" xfId="0" applyNumberFormat="1" applyFont="1" applyBorder="1"/>
    <xf numFmtId="166" fontId="1" fillId="0" borderId="1" xfId="0" applyNumberFormat="1" applyFont="1" applyBorder="1"/>
    <xf numFmtId="0" fontId="1" fillId="0" borderId="1" xfId="0" applyFont="1" applyBorder="1"/>
    <xf numFmtId="0" fontId="4" fillId="2" borderId="0" xfId="0" applyFont="1" applyFill="1" applyAlignment="1"/>
    <xf numFmtId="0" fontId="0" fillId="0" borderId="0" xfId="0" applyFont="1" applyAlignment="1"/>
    <xf numFmtId="0" fontId="15" fillId="4" borderId="2" xfId="0" applyFont="1" applyFill="1" applyBorder="1" applyAlignment="1">
      <alignment horizontal="center"/>
    </xf>
    <xf numFmtId="0" fontId="8" fillId="0" borderId="3" xfId="0" applyFont="1" applyBorder="1"/>
    <xf numFmtId="0" fontId="8" fillId="0" borderId="4" xfId="0" applyFont="1" applyBorder="1"/>
    <xf numFmtId="0" fontId="16" fillId="8" borderId="2" xfId="0" applyFont="1" applyFill="1" applyBorder="1" applyAlignment="1">
      <alignment horizontal="center"/>
    </xf>
    <xf numFmtId="0" fontId="5" fillId="3" borderId="2" xfId="0" applyFont="1" applyFill="1" applyBorder="1" applyAlignment="1">
      <alignment horizontal="center"/>
    </xf>
    <xf numFmtId="0" fontId="14" fillId="0" borderId="2" xfId="0" applyFont="1" applyBorder="1" applyAlignment="1">
      <alignment horizontal="center"/>
    </xf>
    <xf numFmtId="0" fontId="6" fillId="3" borderId="0" xfId="0" applyFont="1" applyFill="1" applyAlignment="1">
      <alignment horizontal="center" vertical="center"/>
    </xf>
    <xf numFmtId="0" fontId="9" fillId="4" borderId="0" xfId="0" applyFont="1" applyFill="1" applyAlignment="1">
      <alignment horizontal="center" vertical="center"/>
    </xf>
    <xf numFmtId="0" fontId="5" fillId="5" borderId="0" xfId="0" applyFont="1" applyFill="1" applyAlignment="1">
      <alignment horizontal="center"/>
    </xf>
    <xf numFmtId="0" fontId="11" fillId="8" borderId="0" xfId="0" applyFont="1" applyFill="1" applyAlignment="1">
      <alignment horizontal="center"/>
    </xf>
    <xf numFmtId="0" fontId="14" fillId="0" borderId="0" xfId="0" applyFont="1" applyAlignment="1">
      <alignment horizontal="center"/>
    </xf>
    <xf numFmtId="0" fontId="15" fillId="3" borderId="2" xfId="0" applyFont="1" applyFill="1" applyBorder="1" applyAlignment="1">
      <alignment horizontal="center"/>
    </xf>
    <xf numFmtId="0" fontId="15" fillId="5" borderId="2" xfId="0" applyFont="1" applyFill="1" applyBorder="1" applyAlignment="1">
      <alignment horizontal="center"/>
    </xf>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Visitestage-style" pivot="0" count="4" xr9:uid="{00000000-0011-0000-FFFF-FFFF00000000}">
      <tableStyleElement type="wholeTable" size="0" dxfId="4"/>
      <tableStyleElement type="headerRow" dxfId="7"/>
      <tableStyleElement type="firstRowStripe" dxfId="6"/>
      <tableStyleElement type="secondRowStripe" dxfId="5"/>
    </tableStyle>
    <tableStyle name="Donnees_Activites-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b="0">
                <a:solidFill>
                  <a:srgbClr val="757575"/>
                </a:solidFill>
                <a:latin typeface="+mn-lt"/>
              </a:defRPr>
            </a:pPr>
            <a:r>
              <a:rPr lang="fr-FR" b="0">
                <a:solidFill>
                  <a:srgbClr val="757575"/>
                </a:solidFill>
                <a:latin typeface="+mn-lt"/>
              </a:rPr>
              <a:t>Top 10 Organisateurs</a:t>
            </a:r>
          </a:p>
        </c:rich>
      </c:tx>
      <c:overlay val="0"/>
    </c:title>
    <c:autoTitleDeleted val="0"/>
    <c:plotArea>
      <c:layout/>
      <c:barChart>
        <c:barDir val="bar"/>
        <c:grouping val="clustered"/>
        <c:varyColors val="1"/>
        <c:ser>
          <c:idx val="0"/>
          <c:order val="0"/>
          <c:invertIfNegative val="1"/>
          <c:cat>
            <c:strRef>
              <c:f>Dashboard_Auto!$A$13:$A$22</c:f>
              <c:strCache>
                <c:ptCount val="2"/>
                <c:pt idx="0">
                  <c:v>Organisateur</c:v>
                </c:pt>
                <c:pt idx="1">
                  <c:v>#REF!</c:v>
                </c:pt>
              </c:strCache>
            </c:strRef>
          </c:cat>
          <c:val>
            <c:numRef>
              <c:f>Dashboard_Auto!$B$13:$B$22</c:f>
              <c:numCache>
                <c:formatCode>#,##0</c:formatCode>
                <c:ptCount val="10"/>
                <c:pt idx="0">
                  <c:v>0</c:v>
                </c:pt>
              </c:numCache>
            </c:numRef>
          </c:val>
          <c:extLst>
            <c:ext xmlns:c16="http://schemas.microsoft.com/office/drawing/2014/chart" uri="{C3380CC4-5D6E-409C-BE32-E72D297353CC}">
              <c16:uniqueId val="{00000000-E702-4B4F-91E4-B046BD8EEC64}"/>
            </c:ext>
          </c:extLst>
        </c:ser>
        <c:dLbls>
          <c:showLegendKey val="0"/>
          <c:showVal val="0"/>
          <c:showCatName val="0"/>
          <c:showSerName val="0"/>
          <c:showPercent val="0"/>
          <c:showBubbleSize val="0"/>
        </c:dLbls>
        <c:gapWidth val="150"/>
        <c:axId val="1067842402"/>
        <c:axId val="2125273172"/>
      </c:barChart>
      <c:catAx>
        <c:axId val="1067842402"/>
        <c:scaling>
          <c:orientation val="maxMin"/>
        </c:scaling>
        <c:delete val="0"/>
        <c:axPos val="l"/>
        <c:title>
          <c:tx>
            <c:rich>
              <a:bodyPr/>
              <a:lstStyle/>
              <a:p>
                <a:pPr lvl="0">
                  <a:defRPr b="0">
                    <a:solidFill>
                      <a:srgbClr val="000000"/>
                    </a:solidFill>
                    <a:latin typeface="+mn-lt"/>
                  </a:defRPr>
                </a:pPr>
                <a:endParaRPr lang="fr-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fr-FR"/>
          </a:p>
        </c:txPr>
        <c:crossAx val="2125273172"/>
        <c:crosses val="autoZero"/>
        <c:auto val="1"/>
        <c:lblAlgn val="ctr"/>
        <c:lblOffset val="100"/>
        <c:noMultiLvlLbl val="1"/>
      </c:catAx>
      <c:valAx>
        <c:axId val="2125273172"/>
        <c:scaling>
          <c:orientation val="minMax"/>
        </c:scaling>
        <c:delete val="0"/>
        <c:axPos val="b"/>
        <c:numFmt formatCode="#,##0" sourceLinked="1"/>
        <c:majorTickMark val="cross"/>
        <c:minorTickMark val="cross"/>
        <c:tickLblPos val="nextTo"/>
        <c:spPr>
          <a:ln>
            <a:noFill/>
          </a:ln>
        </c:spPr>
        <c:crossAx val="1067842402"/>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b="0">
                <a:solidFill>
                  <a:srgbClr val="757575"/>
                </a:solidFill>
                <a:latin typeface="+mn-lt"/>
              </a:defRPr>
            </a:pPr>
            <a:r>
              <a:rPr lang="fr-FR" b="0">
                <a:solidFill>
                  <a:srgbClr val="757575"/>
                </a:solidFill>
                <a:latin typeface="+mn-lt"/>
              </a:rPr>
              <a:t>Répartition par Type d'Activité</a:t>
            </a:r>
          </a:p>
        </c:rich>
      </c:tx>
      <c:overlay val="0"/>
    </c:title>
    <c:autoTitleDeleted val="0"/>
    <c:plotArea>
      <c:layout>
        <c:manualLayout>
          <c:layoutTarget val="inner"/>
          <c:xMode val="edge"/>
          <c:yMode val="edge"/>
          <c:x val="0.2616333624963546"/>
          <c:y val="0.11777777777777777"/>
          <c:w val="0.54074074074074074"/>
          <c:h val="0.81111111111111112"/>
        </c:manualLayout>
      </c:layout>
      <c:doughnutChart>
        <c:varyColors val="1"/>
        <c:ser>
          <c:idx val="0"/>
          <c:order val="0"/>
          <c:dPt>
            <c:idx val="0"/>
            <c:bubble3D val="0"/>
            <c:spPr>
              <a:solidFill>
                <a:srgbClr val="EF7D00"/>
              </a:solidFill>
            </c:spPr>
            <c:extLst>
              <c:ext xmlns:c16="http://schemas.microsoft.com/office/drawing/2014/chart" uri="{C3380CC4-5D6E-409C-BE32-E72D297353CC}">
                <c16:uniqueId val="{00000001-DCDD-46E4-831F-0B27767C60A3}"/>
              </c:ext>
            </c:extLst>
          </c:dPt>
          <c:dPt>
            <c:idx val="1"/>
            <c:bubble3D val="0"/>
            <c:spPr>
              <a:solidFill>
                <a:srgbClr val="00A87D"/>
              </a:solidFill>
            </c:spPr>
            <c:extLst>
              <c:ext xmlns:c16="http://schemas.microsoft.com/office/drawing/2014/chart" uri="{C3380CC4-5D6E-409C-BE32-E72D297353CC}">
                <c16:uniqueId val="{00000003-DCDD-46E4-831F-0B27767C60A3}"/>
              </c:ext>
            </c:extLst>
          </c:dPt>
          <c:dPt>
            <c:idx val="2"/>
            <c:bubble3D val="0"/>
            <c:extLst>
              <c:ext xmlns:c16="http://schemas.microsoft.com/office/drawing/2014/chart" uri="{C3380CC4-5D6E-409C-BE32-E72D297353CC}">
                <c16:uniqueId val="{00000004-DCDD-46E4-831F-0B27767C60A3}"/>
              </c:ext>
            </c:extLst>
          </c:dPt>
          <c:dPt>
            <c:idx val="3"/>
            <c:bubble3D val="0"/>
            <c:extLst>
              <c:ext xmlns:c16="http://schemas.microsoft.com/office/drawing/2014/chart" uri="{C3380CC4-5D6E-409C-BE32-E72D297353CC}">
                <c16:uniqueId val="{00000005-DCDD-46E4-831F-0B27767C60A3}"/>
              </c:ext>
            </c:extLst>
          </c:dPt>
          <c:dPt>
            <c:idx val="4"/>
            <c:bubble3D val="0"/>
            <c:extLst>
              <c:ext xmlns:c16="http://schemas.microsoft.com/office/drawing/2014/chart" uri="{C3380CC4-5D6E-409C-BE32-E72D297353CC}">
                <c16:uniqueId val="{00000006-DCDD-46E4-831F-0B27767C60A3}"/>
              </c:ext>
            </c:extLst>
          </c:dPt>
          <c:dPt>
            <c:idx val="5"/>
            <c:bubble3D val="0"/>
            <c:extLst>
              <c:ext xmlns:c16="http://schemas.microsoft.com/office/drawing/2014/chart" uri="{C3380CC4-5D6E-409C-BE32-E72D297353CC}">
                <c16:uniqueId val="{00000007-DCDD-46E4-831F-0B27767C60A3}"/>
              </c:ext>
            </c:extLst>
          </c:dPt>
          <c:dPt>
            <c:idx val="6"/>
            <c:bubble3D val="0"/>
            <c:extLst>
              <c:ext xmlns:c16="http://schemas.microsoft.com/office/drawing/2014/chart" uri="{C3380CC4-5D6E-409C-BE32-E72D297353CC}">
                <c16:uniqueId val="{00000008-DCDD-46E4-831F-0B27767C60A3}"/>
              </c:ext>
            </c:extLst>
          </c:dPt>
          <c:dPt>
            <c:idx val="7"/>
            <c:bubble3D val="0"/>
            <c:extLst>
              <c:ext xmlns:c16="http://schemas.microsoft.com/office/drawing/2014/chart" uri="{C3380CC4-5D6E-409C-BE32-E72D297353CC}">
                <c16:uniqueId val="{00000009-DCDD-46E4-831F-0B27767C60A3}"/>
              </c:ext>
            </c:extLst>
          </c:dPt>
          <c:dPt>
            <c:idx val="8"/>
            <c:bubble3D val="0"/>
            <c:extLst>
              <c:ext xmlns:c16="http://schemas.microsoft.com/office/drawing/2014/chart" uri="{C3380CC4-5D6E-409C-BE32-E72D297353CC}">
                <c16:uniqueId val="{0000000A-DCDD-46E4-831F-0B27767C60A3}"/>
              </c:ext>
            </c:extLst>
          </c:dPt>
          <c:dPt>
            <c:idx val="9"/>
            <c:bubble3D val="0"/>
            <c:extLst>
              <c:ext xmlns:c16="http://schemas.microsoft.com/office/drawing/2014/chart" uri="{C3380CC4-5D6E-409C-BE32-E72D297353CC}">
                <c16:uniqueId val="{0000000B-DCDD-46E4-831F-0B27767C60A3}"/>
              </c:ext>
            </c:extLst>
          </c:dPt>
          <c:cat>
            <c:strRef>
              <c:f>Dashboard_Auto!$F$13:$F$22</c:f>
              <c:strCache>
                <c:ptCount val="2"/>
                <c:pt idx="0">
                  <c:v>Type</c:v>
                </c:pt>
                <c:pt idx="1">
                  <c:v>#REF!</c:v>
                </c:pt>
              </c:strCache>
            </c:strRef>
          </c:cat>
          <c:val>
            <c:numRef>
              <c:f>Dashboard_Auto!$G$13:$G$22</c:f>
              <c:numCache>
                <c:formatCode>#,##0</c:formatCode>
                <c:ptCount val="10"/>
                <c:pt idx="0">
                  <c:v>0</c:v>
                </c:pt>
              </c:numCache>
            </c:numRef>
          </c:val>
          <c:extLst>
            <c:ext xmlns:c16="http://schemas.microsoft.com/office/drawing/2014/chart" uri="{C3380CC4-5D6E-409C-BE32-E72D297353CC}">
              <c16:uniqueId val="{0000000C-DCDD-46E4-831F-0B27767C60A3}"/>
            </c:ext>
          </c:extLst>
        </c:ser>
        <c:dLbls>
          <c:showLegendKey val="0"/>
          <c:showVal val="0"/>
          <c:showCatName val="0"/>
          <c:showSerName val="0"/>
          <c:showPercent val="0"/>
          <c:showBubbleSize val="0"/>
          <c:showLeaderLines val="1"/>
        </c:dLbls>
        <c:firstSliceAng val="0"/>
        <c:holeSize val="40"/>
      </c:doughnutChart>
    </c:plotArea>
    <c:legend>
      <c:legendPos val="r"/>
      <c:overlay val="0"/>
      <c:txPr>
        <a:bodyPr/>
        <a:lstStyle/>
        <a:p>
          <a:pPr lvl="0">
            <a:defRPr b="0">
              <a:solidFill>
                <a:srgbClr val="1A1A1A"/>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b="0">
                <a:solidFill>
                  <a:srgbClr val="757575"/>
                </a:solidFill>
                <a:latin typeface="+mn-lt"/>
              </a:defRPr>
            </a:pPr>
            <a:r>
              <a:rPr lang="fr-FR" b="0">
                <a:solidFill>
                  <a:srgbClr val="757575"/>
                </a:solidFill>
                <a:latin typeface="+mn-lt"/>
              </a:rPr>
              <a:t>Évolution Mensuelle</a:t>
            </a:r>
          </a:p>
        </c:rich>
      </c:tx>
      <c:overlay val="0"/>
    </c:title>
    <c:autoTitleDeleted val="0"/>
    <c:plotArea>
      <c:layout/>
      <c:barChart>
        <c:barDir val="col"/>
        <c:grouping val="clustered"/>
        <c:varyColors val="1"/>
        <c:ser>
          <c:idx val="0"/>
          <c:order val="0"/>
          <c:spPr>
            <a:solidFill>
              <a:srgbClr val="EF7D00"/>
            </a:solidFill>
            <a:ln cmpd="sng">
              <a:solidFill>
                <a:srgbClr val="000000"/>
              </a:solidFill>
            </a:ln>
          </c:spPr>
          <c:invertIfNegative val="1"/>
          <c:cat>
            <c:strRef>
              <c:f>Dashboard_Auto!$F$26:$F$31</c:f>
              <c:strCache>
                <c:ptCount val="6"/>
                <c:pt idx="0">
                  <c:v>Mois</c:v>
                </c:pt>
                <c:pt idx="1">
                  <c:v>juin yyyy</c:v>
                </c:pt>
                <c:pt idx="2">
                  <c:v>juil yyyy</c:v>
                </c:pt>
                <c:pt idx="3">
                  <c:v>août yyyy</c:v>
                </c:pt>
                <c:pt idx="4">
                  <c:v>sept yyyy</c:v>
                </c:pt>
                <c:pt idx="5">
                  <c:v>oct yyyy</c:v>
                </c:pt>
              </c:strCache>
            </c:strRef>
          </c:cat>
          <c:val>
            <c:numRef>
              <c:f>Dashboard_Auto!$G$26:$G$31</c:f>
              <c:numCache>
                <c:formatCode>#,##0</c:formatCode>
                <c:ptCount val="6"/>
                <c:pt idx="0">
                  <c:v>0</c:v>
                </c:pt>
                <c:pt idx="1">
                  <c:v>0</c:v>
                </c:pt>
                <c:pt idx="2">
                  <c:v>0</c:v>
                </c:pt>
                <c:pt idx="3">
                  <c:v>0</c:v>
                </c:pt>
                <c:pt idx="4">
                  <c:v>0</c:v>
                </c:pt>
                <c:pt idx="5">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76-4339-9461-24E8F86C9110}"/>
            </c:ext>
          </c:extLst>
        </c:ser>
        <c:dLbls>
          <c:showLegendKey val="0"/>
          <c:showVal val="0"/>
          <c:showCatName val="0"/>
          <c:showSerName val="0"/>
          <c:showPercent val="0"/>
          <c:showBubbleSize val="0"/>
        </c:dLbls>
        <c:gapWidth val="150"/>
        <c:axId val="1544701892"/>
        <c:axId val="1902662929"/>
      </c:barChart>
      <c:lineChart>
        <c:grouping val="standard"/>
        <c:varyColors val="0"/>
        <c:ser>
          <c:idx val="1"/>
          <c:order val="1"/>
          <c:spPr>
            <a:ln cmpd="sng">
              <a:solidFill>
                <a:srgbClr val="007D7D"/>
              </a:solidFill>
            </a:ln>
          </c:spPr>
          <c:marker>
            <c:symbol val="none"/>
          </c:marker>
          <c:cat>
            <c:strRef>
              <c:f>Dashboard_Auto!$F$26:$F$31</c:f>
              <c:strCache>
                <c:ptCount val="6"/>
                <c:pt idx="0">
                  <c:v>Mois</c:v>
                </c:pt>
                <c:pt idx="1">
                  <c:v>juin yyyy</c:v>
                </c:pt>
                <c:pt idx="2">
                  <c:v>juil yyyy</c:v>
                </c:pt>
                <c:pt idx="3">
                  <c:v>août yyyy</c:v>
                </c:pt>
                <c:pt idx="4">
                  <c:v>sept yyyy</c:v>
                </c:pt>
                <c:pt idx="5">
                  <c:v>oct yyyy</c:v>
                </c:pt>
              </c:strCache>
            </c:strRef>
          </c:cat>
          <c:val>
            <c:numRef>
              <c:f>Dashboard_Auto!$H$26:$H$31</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4276-4339-9461-24E8F86C9110}"/>
            </c:ext>
          </c:extLst>
        </c:ser>
        <c:dLbls>
          <c:showLegendKey val="0"/>
          <c:showVal val="0"/>
          <c:showCatName val="0"/>
          <c:showSerName val="0"/>
          <c:showPercent val="0"/>
          <c:showBubbleSize val="0"/>
        </c:dLbls>
        <c:marker val="1"/>
        <c:smooth val="0"/>
        <c:axId val="1544701892"/>
        <c:axId val="1902662929"/>
      </c:lineChart>
      <c:catAx>
        <c:axId val="1544701892"/>
        <c:scaling>
          <c:orientation val="minMax"/>
        </c:scaling>
        <c:delete val="0"/>
        <c:axPos val="b"/>
        <c:title>
          <c:tx>
            <c:rich>
              <a:bodyPr/>
              <a:lstStyle/>
              <a:p>
                <a:pPr lvl="0">
                  <a:defRPr b="0">
                    <a:solidFill>
                      <a:srgbClr val="000000"/>
                    </a:solidFill>
                    <a:latin typeface="+mn-lt"/>
                  </a:defRPr>
                </a:pPr>
                <a:endParaRPr lang="fr-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fr-FR"/>
          </a:p>
        </c:txPr>
        <c:crossAx val="1902662929"/>
        <c:crosses val="autoZero"/>
        <c:auto val="1"/>
        <c:lblAlgn val="ctr"/>
        <c:lblOffset val="100"/>
        <c:noMultiLvlLbl val="1"/>
      </c:catAx>
      <c:valAx>
        <c:axId val="1902662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fr-F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fr-FR"/>
          </a:p>
        </c:txPr>
        <c:crossAx val="1544701892"/>
        <c:crosses val="autoZero"/>
        <c:crossBetween val="between"/>
      </c:valAx>
    </c:plotArea>
    <c:legend>
      <c:legendPos val="r"/>
      <c:overlay val="0"/>
      <c:txPr>
        <a:bodyPr/>
        <a:lstStyle/>
        <a:p>
          <a:pPr lvl="0">
            <a:defRPr b="0">
              <a:solidFill>
                <a:srgbClr val="1A1A1A"/>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0</xdr:colOff>
      <xdr:row>11</xdr:row>
      <xdr:rowOff>0</xdr:rowOff>
    </xdr:from>
    <xdr:ext cx="4762500" cy="28575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15</xdr:col>
      <xdr:colOff>152400</xdr:colOff>
      <xdr:row>9</xdr:row>
      <xdr:rowOff>121920</xdr:rowOff>
    </xdr:from>
    <xdr:ext cx="4286250" cy="28575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0</xdr:colOff>
      <xdr:row>29</xdr:row>
      <xdr:rowOff>152400</xdr:rowOff>
    </xdr:from>
    <xdr:ext cx="5715000" cy="28575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S16">
  <tableColumns count="19">
    <tableColumn id="1" xr3:uid="{00000000-0010-0000-0000-000001000000}" name="Timestamp"/>
    <tableColumn id="2" xr3:uid="{00000000-0010-0000-0000-000002000000}" name="Email Address"/>
    <tableColumn id="3" xr3:uid="{00000000-0010-0000-0000-000003000000}" name="Untitled Question"/>
    <tableColumn id="4" xr3:uid="{00000000-0010-0000-0000-000004000000}" name="Nombre visiteurs/stagiaires"/>
    <tableColumn id="5" xr3:uid="{00000000-0010-0000-0000-000005000000}" name="Objet "/>
    <tableColumn id="6" xr3:uid="{00000000-0010-0000-0000-000006000000}" name="Site  concerné/Secteur Nord"/>
    <tableColumn id="7" xr3:uid="{00000000-0010-0000-0000-000007000000}" name="Site concerné/ Secteur Centre"/>
    <tableColumn id="8" xr3:uid="{00000000-0010-0000-0000-000008000000}" name="Site  concerné/ Secteur Sud"/>
    <tableColumn id="9" xr3:uid="{00000000-0010-0000-0000-000009000000}" name="Lieu de provenance"/>
    <tableColumn id="10" xr3:uid="{00000000-0010-0000-0000-00000A000000}" name="Organisation /Institution de provenance"/>
    <tableColumn id="11" xr3:uid="{00000000-0010-0000-0000-00000B000000}" name="Motif"/>
    <tableColumn id="12" xr3:uid="{00000000-0010-0000-0000-00000C000000}" name="Column 11"/>
    <tableColumn id="13" xr3:uid="{00000000-0010-0000-0000-00000D000000}" name="Date d'arrivée"/>
    <tableColumn id="14" xr3:uid="{00000000-0010-0000-0000-00000E000000}" name="Date de départ "/>
    <tableColumn id="15" xr3:uid="{00000000-0010-0000-0000-00000F000000}" name="Heure d'arrivé"/>
    <tableColumn id="16" xr3:uid="{00000000-0010-0000-0000-000010000000}" name="Heure de départ"/>
    <tableColumn id="17" xr3:uid="{00000000-0010-0000-0000-000011000000}" name="Observation "/>
    <tableColumn id="18" xr3:uid="{00000000-0010-0000-0000-000012000000}" name="Annexe ( Liste de présence, Photo, etc.)"/>
    <tableColumn id="19" xr3:uid="{00000000-0010-0000-0000-000013000000}" name="Description "/>
  </tableColumns>
  <tableStyleInfo name="Visitestag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2" displayName="Form_Responses2" ref="A1:S21">
  <tableColumns count="19">
    <tableColumn id="1" xr3:uid="{00000000-0010-0000-0100-000001000000}" name="Timestamp"/>
    <tableColumn id="2" xr3:uid="{00000000-0010-0000-0100-000002000000}" name="Email Address"/>
    <tableColumn id="3" xr3:uid="{00000000-0010-0000-0100-000003000000}" name="Nom de l'activité"/>
    <tableColumn id="4" xr3:uid="{00000000-0010-0000-0100-000004000000}" name="Organisateur"/>
    <tableColumn id="5" xr3:uid="{00000000-0010-0000-0100-000005000000}" name="Type d'activité"/>
    <tableColumn id="6" xr3:uid="{00000000-0010-0000-0100-000006000000}" name="Description de l'activité"/>
    <tableColumn id="7" xr3:uid="{00000000-0010-0000-0100-000007000000}" name="Date de l'activité"/>
    <tableColumn id="8" xr3:uid="{00000000-0010-0000-0100-000008000000}" name="Durée de l'activité"/>
    <tableColumn id="9" xr3:uid="{00000000-0010-0000-0100-000009000000}" name="Lieu de l'activité ( Secteur)"/>
    <tableColumn id="10" xr3:uid="{00000000-0010-0000-0100-00000A000000}" name="Préciser le lieu"/>
    <tableColumn id="11" xr3:uid="{00000000-0010-0000-0100-00000B000000}" name="Nombre de participants - Hommes"/>
    <tableColumn id="12" xr3:uid="{00000000-0010-0000-0100-00000C000000}" name="Nombre de participants - Femmes"/>
    <tableColumn id="13" xr3:uid="{00000000-0010-0000-0100-00000D000000}" name="Nombre de participants - Enfants"/>
    <tableColumn id="14" xr3:uid="{00000000-0010-0000-0100-00000E000000}" name="Acquis et résultats de l'activité"/>
    <tableColumn id="15" xr3:uid="{00000000-0010-0000-0100-00000F000000}" name="Pièce jointe"/>
    <tableColumn id="16" xr3:uid="{00000000-0010-0000-0100-000010000000}" name="Membres de l'équipe"/>
    <tableColumn id="17" xr3:uid="{00000000-0010-0000-0100-000011000000}" name="Messages Clés"/>
    <tableColumn id="18" xr3:uid="{00000000-0010-0000-0100-000012000000}" name="Fait marquant"/>
    <tableColumn id="19" xr3:uid="{00000000-0010-0000-0100-000013000000}" name="Suggestions et recommandations clés"/>
  </tableColumns>
  <tableStyleInfo name="Donnees_Activi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qe7SvylVqc0vXl0H_WjyViPU13VklUn6" TargetMode="External"/><Relationship Id="rId13" Type="http://schemas.openxmlformats.org/officeDocument/2006/relationships/hyperlink" Target="https://drive.google.com/open?id=1zDB74MWZtglRr-nfQa7T4thrcEqA-5oq" TargetMode="External"/><Relationship Id="rId3" Type="http://schemas.openxmlformats.org/officeDocument/2006/relationships/hyperlink" Target="https://drive.google.com/open?id=1DU5cGSefYC3UJxA-EHQ0Uqd1ZvxkcWq_" TargetMode="External"/><Relationship Id="rId7" Type="http://schemas.openxmlformats.org/officeDocument/2006/relationships/hyperlink" Target="https://drive.google.com/open?id=1DQQmgEcB_168st24EUAoavfklS9X0XXX" TargetMode="External"/><Relationship Id="rId12" Type="http://schemas.openxmlformats.org/officeDocument/2006/relationships/hyperlink" Target="https://drive.google.com/open?id=1XB_yCqzP731im52Z_fIGbrVn8lkPIlm0" TargetMode="External"/><Relationship Id="rId2" Type="http://schemas.openxmlformats.org/officeDocument/2006/relationships/hyperlink" Target="https://drive.google.com/open?id=1R72ufkbCbOPpLwyG_sGzuHrpNeLKlO7m" TargetMode="External"/><Relationship Id="rId1" Type="http://schemas.openxmlformats.org/officeDocument/2006/relationships/hyperlink" Target="https://drive.google.com/open?id=1AVSwrBUB6GiHz3DRRPzGMm1pb-VjnhTU" TargetMode="External"/><Relationship Id="rId6" Type="http://schemas.openxmlformats.org/officeDocument/2006/relationships/hyperlink" Target="https://drive.google.com/open?id=1Z8rYNHqyXf3KaDQxirXEOS2koFTrAt_V" TargetMode="External"/><Relationship Id="rId11" Type="http://schemas.openxmlformats.org/officeDocument/2006/relationships/hyperlink" Target="https://drive.google.com/open?id=1NSkutxzwEvti96tPt-CJgwhWLAg1dBwm" TargetMode="External"/><Relationship Id="rId5" Type="http://schemas.openxmlformats.org/officeDocument/2006/relationships/hyperlink" Target="https://drive.google.com/open?id=1RtN7BbabBjB5Tp7nAzjE_Z3Lw4xVydjf" TargetMode="External"/><Relationship Id="rId15" Type="http://schemas.openxmlformats.org/officeDocument/2006/relationships/table" Target="../tables/table1.xml"/><Relationship Id="rId10" Type="http://schemas.openxmlformats.org/officeDocument/2006/relationships/hyperlink" Target="https://drive.google.com/open?id=1VaGJYphUaO8XyQ5CuRyzOX6Ng7d23HOL" TargetMode="External"/><Relationship Id="rId4" Type="http://schemas.openxmlformats.org/officeDocument/2006/relationships/hyperlink" Target="https://drive.google.com/open?id=1uZIUPFlrxTE9DU4mWzAdt-WFFSfVtTnN" TargetMode="External"/><Relationship Id="rId9" Type="http://schemas.openxmlformats.org/officeDocument/2006/relationships/hyperlink" Target="https://drive.google.com/open?id=106gmBhS6D04zgEzzWQU4uWW8QkBjQppg" TargetMode="External"/><Relationship Id="rId14" Type="http://schemas.openxmlformats.org/officeDocument/2006/relationships/hyperlink" Target="https://drive.google.com/open?id=1fl4iGePg92sSiVReCT9ZJ_oWjGC83t3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open?id=1OBUinkp4FL1WH9Dah0MBy9pMfXkintjx" TargetMode="External"/><Relationship Id="rId13" Type="http://schemas.openxmlformats.org/officeDocument/2006/relationships/hyperlink" Target="https://drive.google.com/open?id=1P3DctiT6Zk8NlG-Fxri0t2T8LHm99Pfu" TargetMode="External"/><Relationship Id="rId18" Type="http://schemas.openxmlformats.org/officeDocument/2006/relationships/hyperlink" Target="https://drive.google.com/open?id=1WER361cS8JvsEgJebMoDucHzeT_uPGmp" TargetMode="External"/><Relationship Id="rId3" Type="http://schemas.openxmlformats.org/officeDocument/2006/relationships/hyperlink" Target="https://drive.google.com/open?id=1Oqu5lUgxksMsow2Dz7jS6w234MjTHTR4" TargetMode="External"/><Relationship Id="rId7" Type="http://schemas.openxmlformats.org/officeDocument/2006/relationships/hyperlink" Target="https://drive.google.com/open?id=1L_5tXXT2Aej0sEOPicR9qXqGpclVneSO" TargetMode="External"/><Relationship Id="rId12" Type="http://schemas.openxmlformats.org/officeDocument/2006/relationships/hyperlink" Target="https://drive.google.com/open?id=1_En-7ajrVE4V_FvdcY3o8Zk2auDoOYsR" TargetMode="External"/><Relationship Id="rId17" Type="http://schemas.openxmlformats.org/officeDocument/2006/relationships/hyperlink" Target="https://drive.google.com/open?id=1lr4YdJwyEbWl4sbxknfrh_ZVxrm_Nui2" TargetMode="External"/><Relationship Id="rId2" Type="http://schemas.openxmlformats.org/officeDocument/2006/relationships/hyperlink" Target="https://drive.google.com/open?id=1o01QR96INcPY0ueOKrHqJJ3jG37AJjeY" TargetMode="External"/><Relationship Id="rId16" Type="http://schemas.openxmlformats.org/officeDocument/2006/relationships/hyperlink" Target="https://drive.google.com/open?id=1-a9ojtD5sKEJCclPiPLhLBJZJQ07JuV8" TargetMode="External"/><Relationship Id="rId1" Type="http://schemas.openxmlformats.org/officeDocument/2006/relationships/hyperlink" Target="https://drive.google.com/open?id=1ESNufVdmGDyP4nOurEhz0wbaTtIB363A" TargetMode="External"/><Relationship Id="rId6" Type="http://schemas.openxmlformats.org/officeDocument/2006/relationships/hyperlink" Target="https://drive.google.com/open?id=1s9lV9frRxIH0MJ__aY3hkgNLI-kJF71i" TargetMode="External"/><Relationship Id="rId11" Type="http://schemas.openxmlformats.org/officeDocument/2006/relationships/hyperlink" Target="https://drive.google.com/open?id=1ASOPZslHFcNvTJobdjY7pIZCjA8MikE-" TargetMode="External"/><Relationship Id="rId5" Type="http://schemas.openxmlformats.org/officeDocument/2006/relationships/hyperlink" Target="https://drive.google.com/open?id=1UHcALjnjbQAOtRT91C_TzlJM5n5J0eQw" TargetMode="External"/><Relationship Id="rId15" Type="http://schemas.openxmlformats.org/officeDocument/2006/relationships/hyperlink" Target="https://drive.google.com/open?id=1LKQhb-57-5kfbZWdAju8LwKwjG6i9KIx" TargetMode="External"/><Relationship Id="rId10" Type="http://schemas.openxmlformats.org/officeDocument/2006/relationships/hyperlink" Target="https://drive.google.com/open?id=1zHqJ4qQbd2VoKVAB_tOfImZTz3AKloW4" TargetMode="External"/><Relationship Id="rId19" Type="http://schemas.openxmlformats.org/officeDocument/2006/relationships/table" Target="../tables/table2.xml"/><Relationship Id="rId4" Type="http://schemas.openxmlformats.org/officeDocument/2006/relationships/hyperlink" Target="https://drive.google.com/open?id=1HTtasZAW3XLCmeK5_HLJozrqX9YdbbaE" TargetMode="External"/><Relationship Id="rId9" Type="http://schemas.openxmlformats.org/officeDocument/2006/relationships/hyperlink" Target="https://drive.google.com/open?id=10lijW3IYcU73Z7yfvP5yk1DMQrxoBgIK" TargetMode="External"/><Relationship Id="rId14" Type="http://schemas.openxmlformats.org/officeDocument/2006/relationships/hyperlink" Target="https://drive.google.com/open?id=1n8ozAqRMJbiUDRJ-KnzvBEVHN8ypH2sh"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6"/>
  <sheetViews>
    <sheetView workbookViewId="0">
      <pane ySplit="1" topLeftCell="A2" activePane="bottomLeft" state="frozen"/>
      <selection pane="bottomLeft" activeCell="B3" sqref="B3"/>
    </sheetView>
  </sheetViews>
  <sheetFormatPr baseColWidth="10" defaultColWidth="12.6640625" defaultRowHeight="15.75" customHeight="1"/>
  <cols>
    <col min="1" max="25" width="18.88671875" customWidth="1"/>
  </cols>
  <sheetData>
    <row r="1" spans="1:19" ht="22.5" customHeight="1">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22.5" customHeight="1">
      <c r="A2" s="4">
        <v>45959.677974259263</v>
      </c>
      <c r="B2" s="5" t="s">
        <v>19</v>
      </c>
      <c r="C2" s="6"/>
      <c r="D2" s="5">
        <v>3</v>
      </c>
      <c r="E2" s="5" t="s">
        <v>20</v>
      </c>
      <c r="F2" s="5" t="s">
        <v>21</v>
      </c>
      <c r="G2" s="5" t="s">
        <v>22</v>
      </c>
      <c r="H2" s="5" t="s">
        <v>22</v>
      </c>
      <c r="I2" s="5" t="s">
        <v>23</v>
      </c>
      <c r="J2" s="5" t="s">
        <v>24</v>
      </c>
      <c r="K2" s="6"/>
      <c r="L2" s="6"/>
      <c r="M2" s="7">
        <v>45958</v>
      </c>
      <c r="N2" s="7">
        <v>45959</v>
      </c>
      <c r="O2" s="8">
        <v>0</v>
      </c>
      <c r="P2" s="8">
        <v>0.54166666666424135</v>
      </c>
      <c r="Q2" s="5" t="s">
        <v>25</v>
      </c>
      <c r="R2" s="9" t="s">
        <v>26</v>
      </c>
      <c r="S2" s="10"/>
    </row>
    <row r="3" spans="1:19" ht="22.5" customHeight="1">
      <c r="A3" s="11">
        <v>45959.679522025464</v>
      </c>
      <c r="B3" s="12" t="s">
        <v>19</v>
      </c>
      <c r="D3" s="12">
        <v>3</v>
      </c>
      <c r="E3" s="12" t="s">
        <v>20</v>
      </c>
      <c r="F3" s="12" t="s">
        <v>21</v>
      </c>
      <c r="G3" s="12" t="s">
        <v>22</v>
      </c>
      <c r="H3" s="12" t="s">
        <v>22</v>
      </c>
      <c r="I3" s="12" t="s">
        <v>23</v>
      </c>
      <c r="J3" s="12" t="s">
        <v>27</v>
      </c>
      <c r="M3" s="13">
        <v>45958</v>
      </c>
      <c r="N3" s="13">
        <v>45959</v>
      </c>
      <c r="O3" s="14">
        <v>0</v>
      </c>
      <c r="P3" s="14">
        <v>0.45833333333575865</v>
      </c>
      <c r="Q3" s="12" t="s">
        <v>25</v>
      </c>
      <c r="R3" s="15" t="s">
        <v>28</v>
      </c>
      <c r="S3" s="16"/>
    </row>
    <row r="4" spans="1:19" ht="22.5" customHeight="1">
      <c r="A4" s="11">
        <v>45967.598380520838</v>
      </c>
      <c r="B4" s="12" t="s">
        <v>29</v>
      </c>
      <c r="D4" s="12">
        <v>22</v>
      </c>
      <c r="E4" s="12" t="s">
        <v>30</v>
      </c>
      <c r="F4" s="12" t="s">
        <v>21</v>
      </c>
      <c r="G4" s="12" t="s">
        <v>22</v>
      </c>
      <c r="H4" s="12" t="s">
        <v>22</v>
      </c>
      <c r="I4" s="12" t="s">
        <v>31</v>
      </c>
      <c r="J4" s="12" t="s">
        <v>32</v>
      </c>
      <c r="M4" s="13">
        <v>45950</v>
      </c>
      <c r="N4" s="13">
        <v>45963</v>
      </c>
      <c r="O4" s="14">
        <v>0.42430555555620231</v>
      </c>
      <c r="P4" s="14">
        <v>0.3125</v>
      </c>
      <c r="Q4" s="12" t="s">
        <v>33</v>
      </c>
      <c r="R4" s="15" t="s">
        <v>34</v>
      </c>
      <c r="S4" s="16"/>
    </row>
    <row r="5" spans="1:19" ht="22.5" customHeight="1">
      <c r="A5" s="11">
        <v>45972.487594016202</v>
      </c>
      <c r="B5" s="12" t="s">
        <v>35</v>
      </c>
      <c r="D5" s="12">
        <v>39</v>
      </c>
      <c r="E5" s="12" t="s">
        <v>36</v>
      </c>
      <c r="F5" s="12" t="s">
        <v>37</v>
      </c>
      <c r="G5" s="12" t="s">
        <v>22</v>
      </c>
      <c r="H5" s="12" t="s">
        <v>22</v>
      </c>
      <c r="I5" s="12" t="s">
        <v>38</v>
      </c>
      <c r="J5" s="12" t="s">
        <v>38</v>
      </c>
      <c r="M5" s="13">
        <v>45938</v>
      </c>
      <c r="N5" s="13">
        <v>45938</v>
      </c>
      <c r="O5" s="14">
        <v>0.33333333333575865</v>
      </c>
      <c r="P5" s="14">
        <v>0.70833333333575865</v>
      </c>
      <c r="Q5" s="12" t="s">
        <v>39</v>
      </c>
      <c r="R5" s="15" t="s">
        <v>40</v>
      </c>
      <c r="S5" s="16"/>
    </row>
    <row r="6" spans="1:19" ht="22.5" customHeight="1">
      <c r="A6" s="11">
        <v>45972.495694837962</v>
      </c>
      <c r="B6" s="12" t="s">
        <v>35</v>
      </c>
      <c r="D6" s="12">
        <v>14</v>
      </c>
      <c r="E6" s="12" t="s">
        <v>36</v>
      </c>
      <c r="F6" s="12" t="s">
        <v>37</v>
      </c>
      <c r="G6" s="12" t="s">
        <v>22</v>
      </c>
      <c r="H6" s="12" t="s">
        <v>22</v>
      </c>
      <c r="I6" s="12" t="s">
        <v>38</v>
      </c>
      <c r="J6" s="12" t="s">
        <v>38</v>
      </c>
      <c r="M6" s="13">
        <v>45960</v>
      </c>
      <c r="N6" s="13">
        <v>45960</v>
      </c>
      <c r="O6" s="14">
        <v>0.33333333333575865</v>
      </c>
      <c r="P6" s="14">
        <v>0.70833333333575865</v>
      </c>
      <c r="Q6" s="12" t="s">
        <v>39</v>
      </c>
      <c r="R6" s="15" t="s">
        <v>41</v>
      </c>
      <c r="S6" s="16"/>
    </row>
    <row r="7" spans="1:19" ht="22.5" customHeight="1">
      <c r="A7" s="11">
        <v>45972.497415694444</v>
      </c>
      <c r="B7" s="12" t="s">
        <v>35</v>
      </c>
      <c r="D7" s="12">
        <v>23</v>
      </c>
      <c r="E7" s="12" t="s">
        <v>36</v>
      </c>
      <c r="F7" s="12" t="s">
        <v>22</v>
      </c>
      <c r="G7" s="12" t="s">
        <v>22</v>
      </c>
      <c r="H7" s="12" t="s">
        <v>22</v>
      </c>
      <c r="I7" s="12" t="s">
        <v>38</v>
      </c>
      <c r="J7" s="12" t="s">
        <v>38</v>
      </c>
      <c r="M7" s="13">
        <v>45953</v>
      </c>
      <c r="N7" s="13">
        <v>45953</v>
      </c>
      <c r="O7" s="14">
        <v>0.375</v>
      </c>
      <c r="P7" s="14">
        <v>0.72916666666424135</v>
      </c>
      <c r="Q7" s="12" t="s">
        <v>39</v>
      </c>
      <c r="R7" s="15" t="s">
        <v>42</v>
      </c>
      <c r="S7" s="16"/>
    </row>
    <row r="8" spans="1:19" ht="22.5" customHeight="1">
      <c r="A8" s="11">
        <v>45972.499469548609</v>
      </c>
      <c r="B8" s="12" t="s">
        <v>35</v>
      </c>
      <c r="D8" s="12">
        <v>21</v>
      </c>
      <c r="E8" s="12" t="s">
        <v>36</v>
      </c>
      <c r="F8" s="12" t="s">
        <v>37</v>
      </c>
      <c r="G8" s="12" t="s">
        <v>22</v>
      </c>
      <c r="H8" s="12" t="s">
        <v>22</v>
      </c>
      <c r="I8" s="12" t="s">
        <v>38</v>
      </c>
      <c r="J8" s="12" t="s">
        <v>38</v>
      </c>
      <c r="M8" s="13">
        <v>45931</v>
      </c>
      <c r="N8" s="13">
        <v>45931</v>
      </c>
      <c r="O8" s="14">
        <v>0.70833333333575865</v>
      </c>
      <c r="P8" s="14">
        <v>0.375</v>
      </c>
      <c r="Q8" s="12" t="s">
        <v>39</v>
      </c>
      <c r="R8" s="15" t="s">
        <v>43</v>
      </c>
      <c r="S8" s="16"/>
    </row>
    <row r="9" spans="1:19" ht="22.5" customHeight="1">
      <c r="A9" s="11">
        <v>45972.50303709491</v>
      </c>
      <c r="B9" s="12" t="s">
        <v>35</v>
      </c>
      <c r="D9" s="12">
        <v>26</v>
      </c>
      <c r="E9" s="12" t="s">
        <v>36</v>
      </c>
      <c r="F9" s="12" t="s">
        <v>37</v>
      </c>
      <c r="G9" s="12" t="s">
        <v>22</v>
      </c>
      <c r="H9" s="12" t="s">
        <v>22</v>
      </c>
      <c r="I9" s="12" t="s">
        <v>38</v>
      </c>
      <c r="J9" s="12" t="s">
        <v>38</v>
      </c>
      <c r="M9" s="13">
        <v>45953</v>
      </c>
      <c r="N9" s="13">
        <v>45953</v>
      </c>
      <c r="O9" s="14">
        <v>0.70833333333575865</v>
      </c>
      <c r="P9" s="14">
        <v>0.375</v>
      </c>
      <c r="Q9" s="12" t="s">
        <v>39</v>
      </c>
      <c r="R9" s="15" t="s">
        <v>44</v>
      </c>
      <c r="S9" s="16"/>
    </row>
    <row r="10" spans="1:19" ht="22.5" customHeight="1">
      <c r="A10" s="11">
        <v>45972.50532236111</v>
      </c>
      <c r="B10" s="12" t="s">
        <v>35</v>
      </c>
      <c r="D10" s="12">
        <v>22</v>
      </c>
      <c r="E10" s="12" t="s">
        <v>36</v>
      </c>
      <c r="F10" s="12" t="s">
        <v>37</v>
      </c>
      <c r="G10" s="12" t="s">
        <v>22</v>
      </c>
      <c r="H10" s="12" t="s">
        <v>22</v>
      </c>
      <c r="I10" s="12" t="s">
        <v>38</v>
      </c>
      <c r="J10" s="12" t="s">
        <v>38</v>
      </c>
      <c r="M10" s="13">
        <v>45952</v>
      </c>
      <c r="N10" s="13">
        <v>45952</v>
      </c>
      <c r="O10" s="14">
        <v>0.70833333333575865</v>
      </c>
      <c r="P10" s="14">
        <v>0.375</v>
      </c>
      <c r="Q10" s="12" t="s">
        <v>39</v>
      </c>
      <c r="R10" s="15" t="s">
        <v>45</v>
      </c>
      <c r="S10" s="16"/>
    </row>
    <row r="11" spans="1:19" ht="22.5" customHeight="1">
      <c r="A11" s="11">
        <v>45972.52002733796</v>
      </c>
      <c r="B11" s="12" t="s">
        <v>35</v>
      </c>
      <c r="D11" s="12">
        <v>20</v>
      </c>
      <c r="E11" s="12" t="s">
        <v>36</v>
      </c>
      <c r="F11" s="12" t="s">
        <v>37</v>
      </c>
      <c r="G11" s="12" t="s">
        <v>22</v>
      </c>
      <c r="H11" s="12" t="s">
        <v>22</v>
      </c>
      <c r="I11" s="12" t="s">
        <v>38</v>
      </c>
      <c r="J11" s="12" t="s">
        <v>38</v>
      </c>
      <c r="M11" s="13">
        <v>45933</v>
      </c>
      <c r="N11" s="13">
        <v>45933</v>
      </c>
      <c r="O11" s="14">
        <v>0.375</v>
      </c>
      <c r="P11" s="14">
        <v>0.70833333333575865</v>
      </c>
      <c r="Q11" s="12" t="s">
        <v>39</v>
      </c>
      <c r="R11" s="15" t="s">
        <v>46</v>
      </c>
      <c r="S11" s="16"/>
    </row>
    <row r="12" spans="1:19" ht="22.5" customHeight="1">
      <c r="A12" s="11">
        <v>45972.52186054398</v>
      </c>
      <c r="B12" s="12" t="s">
        <v>35</v>
      </c>
      <c r="D12" s="12">
        <v>20</v>
      </c>
      <c r="E12" s="12" t="s">
        <v>36</v>
      </c>
      <c r="F12" s="12" t="s">
        <v>37</v>
      </c>
      <c r="G12" s="12" t="s">
        <v>22</v>
      </c>
      <c r="H12" s="12" t="s">
        <v>22</v>
      </c>
      <c r="I12" s="12" t="s">
        <v>38</v>
      </c>
      <c r="J12" s="12" t="s">
        <v>38</v>
      </c>
      <c r="M12" s="13">
        <v>45936</v>
      </c>
      <c r="N12" s="13">
        <v>45936</v>
      </c>
      <c r="O12" s="14">
        <v>0.375</v>
      </c>
      <c r="P12" s="14">
        <v>0.70833333333575865</v>
      </c>
      <c r="Q12" s="12" t="s">
        <v>39</v>
      </c>
      <c r="R12" s="15" t="s">
        <v>47</v>
      </c>
      <c r="S12" s="16"/>
    </row>
    <row r="13" spans="1:19" ht="22.5" customHeight="1">
      <c r="A13" s="11">
        <v>45972.529256493057</v>
      </c>
      <c r="B13" s="12" t="s">
        <v>35</v>
      </c>
      <c r="D13" s="12">
        <v>121</v>
      </c>
      <c r="E13" s="12" t="s">
        <v>20</v>
      </c>
      <c r="F13" s="12" t="s">
        <v>37</v>
      </c>
      <c r="G13" s="12" t="s">
        <v>22</v>
      </c>
      <c r="H13" s="12" t="s">
        <v>22</v>
      </c>
      <c r="I13" s="12" t="s">
        <v>48</v>
      </c>
      <c r="J13" s="12" t="s">
        <v>49</v>
      </c>
      <c r="M13" s="13">
        <v>45959</v>
      </c>
      <c r="N13" s="13">
        <v>45959</v>
      </c>
      <c r="O13" s="14">
        <v>0.375</v>
      </c>
      <c r="P13" s="14">
        <v>0.625</v>
      </c>
      <c r="Q13" s="12" t="s">
        <v>50</v>
      </c>
      <c r="R13" s="12" t="s">
        <v>51</v>
      </c>
      <c r="S13" s="16"/>
    </row>
    <row r="14" spans="1:19" ht="22.5" customHeight="1">
      <c r="A14" s="11">
        <v>45973.388688680556</v>
      </c>
      <c r="B14" s="12" t="s">
        <v>19</v>
      </c>
      <c r="D14" s="12">
        <v>34</v>
      </c>
      <c r="E14" s="12" t="s">
        <v>30</v>
      </c>
      <c r="F14" s="12" t="s">
        <v>21</v>
      </c>
      <c r="G14" s="12" t="s">
        <v>22</v>
      </c>
      <c r="H14" s="12" t="s">
        <v>22</v>
      </c>
      <c r="I14" s="12" t="s">
        <v>52</v>
      </c>
      <c r="J14" s="12" t="s">
        <v>53</v>
      </c>
      <c r="M14" s="13">
        <v>45950</v>
      </c>
      <c r="N14" s="13">
        <v>45976</v>
      </c>
      <c r="O14" s="14">
        <v>0</v>
      </c>
      <c r="P14" s="14">
        <v>0.54166666666424135</v>
      </c>
      <c r="Q14" s="12" t="s">
        <v>54</v>
      </c>
      <c r="R14" s="15" t="s">
        <v>55</v>
      </c>
      <c r="S14" s="16"/>
    </row>
    <row r="15" spans="1:19" ht="22.5" customHeight="1">
      <c r="A15" s="11">
        <v>45980.738595972223</v>
      </c>
      <c r="B15" s="12" t="s">
        <v>35</v>
      </c>
      <c r="D15" s="12" t="s">
        <v>56</v>
      </c>
      <c r="E15" s="12" t="s">
        <v>36</v>
      </c>
      <c r="F15" s="12" t="s">
        <v>37</v>
      </c>
      <c r="G15" s="12" t="s">
        <v>22</v>
      </c>
      <c r="H15" s="12" t="s">
        <v>22</v>
      </c>
      <c r="I15" s="12" t="s">
        <v>38</v>
      </c>
      <c r="J15" s="12" t="s">
        <v>38</v>
      </c>
      <c r="M15" s="13">
        <v>45980</v>
      </c>
      <c r="N15" s="13">
        <v>45980</v>
      </c>
      <c r="O15" s="14">
        <v>0.375</v>
      </c>
      <c r="P15" s="14">
        <v>0.70833333333575865</v>
      </c>
      <c r="Q15" s="12" t="s">
        <v>57</v>
      </c>
      <c r="R15" s="15" t="s">
        <v>58</v>
      </c>
      <c r="S15" s="16"/>
    </row>
    <row r="16" spans="1:19" ht="22.5" customHeight="1">
      <c r="A16" s="11">
        <v>45983.4236384838</v>
      </c>
      <c r="B16" s="12" t="s">
        <v>35</v>
      </c>
      <c r="D16" s="12">
        <v>34</v>
      </c>
      <c r="E16" s="12" t="s">
        <v>36</v>
      </c>
      <c r="F16" s="12" t="s">
        <v>37</v>
      </c>
      <c r="G16" s="12" t="s">
        <v>22</v>
      </c>
      <c r="H16" s="12" t="s">
        <v>22</v>
      </c>
      <c r="I16" s="12" t="s">
        <v>38</v>
      </c>
      <c r="J16" s="12" t="s">
        <v>38</v>
      </c>
      <c r="M16" s="13">
        <v>45980</v>
      </c>
      <c r="N16" s="13">
        <v>45982</v>
      </c>
      <c r="O16" s="14">
        <v>0.375</v>
      </c>
      <c r="P16" s="14">
        <v>0.70833333333575865</v>
      </c>
      <c r="Q16" s="12" t="s">
        <v>59</v>
      </c>
      <c r="R16" s="15" t="s">
        <v>60</v>
      </c>
      <c r="S16" s="16"/>
    </row>
  </sheetData>
  <hyperlinks>
    <hyperlink ref="R2" r:id="rId1" xr:uid="{00000000-0004-0000-0000-000000000000}"/>
    <hyperlink ref="R3" r:id="rId2" xr:uid="{00000000-0004-0000-0000-000001000000}"/>
    <hyperlink ref="R4" r:id="rId3"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4" r:id="rId12" xr:uid="{00000000-0004-0000-0000-00000B000000}"/>
    <hyperlink ref="R15" r:id="rId13" xr:uid="{00000000-0004-0000-0000-00000C000000}"/>
    <hyperlink ref="R16" r:id="rId14" xr:uid="{00000000-0004-0000-0000-00000D000000}"/>
  </hyperlinks>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C78D8"/>
    <outlinePr summaryBelow="0" summaryRight="0"/>
  </sheetPr>
  <dimension ref="A1:S21"/>
  <sheetViews>
    <sheetView workbookViewId="0"/>
  </sheetViews>
  <sheetFormatPr baseColWidth="10" defaultColWidth="12.6640625" defaultRowHeight="15.75" customHeight="1"/>
  <cols>
    <col min="1" max="5" width="18.88671875" customWidth="1"/>
    <col min="6" max="6" width="22.109375" customWidth="1"/>
    <col min="7" max="8" width="18.88671875" customWidth="1"/>
    <col min="9" max="9" width="24.33203125" customWidth="1"/>
    <col min="10" max="10" width="18.88671875" customWidth="1"/>
    <col min="11" max="11" width="30.33203125" customWidth="1"/>
    <col min="12" max="12" width="30" customWidth="1"/>
    <col min="13" max="13" width="29.21875" customWidth="1"/>
    <col min="14" max="14" width="27.33203125" customWidth="1"/>
    <col min="15" max="25" width="18.88671875" customWidth="1"/>
  </cols>
  <sheetData>
    <row r="1" spans="1:19" ht="22.5" customHeight="1">
      <c r="A1" s="1" t="s">
        <v>0</v>
      </c>
      <c r="B1" s="1" t="s">
        <v>1</v>
      </c>
      <c r="C1" s="1" t="s">
        <v>61</v>
      </c>
      <c r="D1" s="1" t="s">
        <v>62</v>
      </c>
      <c r="E1" s="1" t="s">
        <v>63</v>
      </c>
      <c r="F1" s="1" t="s">
        <v>64</v>
      </c>
      <c r="G1" s="1" t="s">
        <v>65</v>
      </c>
      <c r="H1" s="1" t="s">
        <v>66</v>
      </c>
      <c r="I1" s="1" t="s">
        <v>67</v>
      </c>
      <c r="J1" s="1" t="s">
        <v>68</v>
      </c>
      <c r="K1" s="1" t="s">
        <v>69</v>
      </c>
      <c r="L1" s="1" t="s">
        <v>70</v>
      </c>
      <c r="M1" s="1" t="s">
        <v>71</v>
      </c>
      <c r="N1" s="1" t="s">
        <v>72</v>
      </c>
      <c r="O1" s="1" t="s">
        <v>73</v>
      </c>
      <c r="P1" s="3" t="s">
        <v>74</v>
      </c>
      <c r="Q1" s="3" t="s">
        <v>75</v>
      </c>
      <c r="R1" s="3" t="s">
        <v>76</v>
      </c>
      <c r="S1" s="3" t="s">
        <v>77</v>
      </c>
    </row>
    <row r="2" spans="1:19" ht="22.5" customHeight="1">
      <c r="A2" s="11">
        <v>45961.546132175921</v>
      </c>
      <c r="B2" s="12" t="s">
        <v>78</v>
      </c>
      <c r="C2" s="12" t="s">
        <v>79</v>
      </c>
      <c r="D2" s="12" t="s">
        <v>80</v>
      </c>
      <c r="E2" s="12" t="s">
        <v>81</v>
      </c>
      <c r="F2" s="12" t="s">
        <v>82</v>
      </c>
      <c r="G2" s="13">
        <v>45954</v>
      </c>
      <c r="H2" s="12" t="s">
        <v>83</v>
      </c>
      <c r="I2" s="12" t="s">
        <v>84</v>
      </c>
      <c r="J2" s="12" t="s">
        <v>52</v>
      </c>
      <c r="K2" s="12">
        <v>29</v>
      </c>
      <c r="L2" s="12">
        <v>14</v>
      </c>
      <c r="M2" s="12">
        <v>6</v>
      </c>
      <c r="N2" s="12" t="s">
        <v>85</v>
      </c>
      <c r="P2" s="12">
        <v>1</v>
      </c>
      <c r="Q2" s="16"/>
      <c r="R2" s="16"/>
      <c r="S2" s="16"/>
    </row>
    <row r="3" spans="1:19" ht="22.5" customHeight="1">
      <c r="A3" s="11">
        <v>45961.58486043982</v>
      </c>
      <c r="B3" s="12" t="s">
        <v>78</v>
      </c>
      <c r="C3" s="12" t="s">
        <v>86</v>
      </c>
      <c r="D3" s="12" t="s">
        <v>87</v>
      </c>
      <c r="E3" s="12" t="s">
        <v>88</v>
      </c>
      <c r="F3" s="12" t="s">
        <v>89</v>
      </c>
      <c r="G3" s="13">
        <v>45952</v>
      </c>
      <c r="H3" s="12" t="s">
        <v>83</v>
      </c>
      <c r="I3" s="12" t="s">
        <v>90</v>
      </c>
      <c r="J3" s="12" t="s">
        <v>91</v>
      </c>
      <c r="K3" s="12">
        <v>32</v>
      </c>
      <c r="L3" s="12">
        <v>14</v>
      </c>
      <c r="M3" s="12">
        <v>21</v>
      </c>
      <c r="N3" s="12" t="s">
        <v>92</v>
      </c>
      <c r="O3" s="15" t="s">
        <v>93</v>
      </c>
      <c r="P3" s="12" t="s">
        <v>94</v>
      </c>
      <c r="Q3" s="16"/>
      <c r="R3" s="16"/>
      <c r="S3" s="16"/>
    </row>
    <row r="4" spans="1:19" ht="22.5" customHeight="1">
      <c r="A4" s="11">
        <v>45961.590724814814</v>
      </c>
      <c r="B4" s="12" t="s">
        <v>78</v>
      </c>
      <c r="C4" s="12" t="s">
        <v>95</v>
      </c>
      <c r="D4" s="12" t="s">
        <v>87</v>
      </c>
      <c r="E4" s="12" t="s">
        <v>88</v>
      </c>
      <c r="F4" s="12" t="s">
        <v>96</v>
      </c>
      <c r="G4" s="13">
        <v>45953</v>
      </c>
      <c r="H4" s="12" t="s">
        <v>83</v>
      </c>
      <c r="I4" s="12" t="s">
        <v>90</v>
      </c>
      <c r="J4" s="12" t="s">
        <v>97</v>
      </c>
      <c r="K4" s="12">
        <v>51</v>
      </c>
      <c r="L4" s="12">
        <v>19</v>
      </c>
      <c r="M4" s="12">
        <v>12</v>
      </c>
      <c r="N4" s="12" t="s">
        <v>98</v>
      </c>
      <c r="O4" s="15" t="s">
        <v>99</v>
      </c>
      <c r="P4" s="12" t="s">
        <v>100</v>
      </c>
      <c r="Q4" s="16"/>
      <c r="R4" s="16"/>
      <c r="S4" s="16"/>
    </row>
    <row r="5" spans="1:19" ht="33.75" customHeight="1">
      <c r="A5" s="11">
        <v>45961.682442870369</v>
      </c>
      <c r="B5" s="12" t="s">
        <v>19</v>
      </c>
      <c r="C5" s="12" t="s">
        <v>101</v>
      </c>
      <c r="D5" s="12" t="s">
        <v>102</v>
      </c>
      <c r="E5" s="12" t="s">
        <v>103</v>
      </c>
      <c r="F5" s="12" t="s">
        <v>104</v>
      </c>
      <c r="G5" s="13">
        <v>45961</v>
      </c>
      <c r="H5" s="12" t="s">
        <v>105</v>
      </c>
      <c r="I5" s="12" t="s">
        <v>106</v>
      </c>
      <c r="J5" s="12" t="s">
        <v>107</v>
      </c>
      <c r="K5" s="12">
        <v>55</v>
      </c>
      <c r="L5" s="12">
        <v>15</v>
      </c>
      <c r="M5" s="12">
        <v>0</v>
      </c>
      <c r="N5" s="12" t="s">
        <v>108</v>
      </c>
      <c r="O5" s="15" t="s">
        <v>109</v>
      </c>
      <c r="P5" s="12" t="s">
        <v>110</v>
      </c>
      <c r="Q5" s="12" t="s">
        <v>111</v>
      </c>
      <c r="R5" s="12" t="s">
        <v>112</v>
      </c>
      <c r="S5" s="12" t="s">
        <v>113</v>
      </c>
    </row>
    <row r="6" spans="1:19" ht="22.5" customHeight="1">
      <c r="A6" s="11">
        <v>45964.569456261575</v>
      </c>
      <c r="B6" s="12" t="s">
        <v>19</v>
      </c>
      <c r="C6" s="12" t="s">
        <v>114</v>
      </c>
      <c r="D6" s="12" t="s">
        <v>87</v>
      </c>
      <c r="E6" s="12" t="s">
        <v>81</v>
      </c>
      <c r="F6" s="12" t="s">
        <v>115</v>
      </c>
      <c r="G6" s="13">
        <v>45936</v>
      </c>
      <c r="H6" s="12" t="s">
        <v>116</v>
      </c>
      <c r="I6" s="12" t="s">
        <v>106</v>
      </c>
      <c r="J6" s="12" t="s">
        <v>117</v>
      </c>
      <c r="K6" s="12">
        <v>1500</v>
      </c>
      <c r="L6" s="12">
        <v>10</v>
      </c>
      <c r="M6" s="12">
        <v>0</v>
      </c>
      <c r="N6" s="12" t="s">
        <v>118</v>
      </c>
      <c r="O6" s="15" t="s">
        <v>119</v>
      </c>
      <c r="P6" s="12" t="s">
        <v>120</v>
      </c>
      <c r="Q6" s="12" t="s">
        <v>121</v>
      </c>
      <c r="R6" s="12" t="s">
        <v>122</v>
      </c>
      <c r="S6" s="12" t="s">
        <v>123</v>
      </c>
    </row>
    <row r="7" spans="1:19" ht="22.5" customHeight="1">
      <c r="A7" s="11">
        <v>45964.579977280097</v>
      </c>
      <c r="B7" s="12" t="s">
        <v>19</v>
      </c>
      <c r="C7" s="12" t="s">
        <v>124</v>
      </c>
      <c r="D7" s="12" t="s">
        <v>87</v>
      </c>
      <c r="E7" s="12" t="s">
        <v>125</v>
      </c>
      <c r="F7" s="12" t="s">
        <v>126</v>
      </c>
      <c r="G7" s="13">
        <v>45940</v>
      </c>
      <c r="H7" s="12" t="s">
        <v>83</v>
      </c>
      <c r="I7" s="12" t="s">
        <v>106</v>
      </c>
      <c r="J7" s="12" t="s">
        <v>127</v>
      </c>
      <c r="K7" s="12">
        <v>10</v>
      </c>
      <c r="L7" s="12">
        <v>0</v>
      </c>
      <c r="M7" s="12">
        <v>0</v>
      </c>
      <c r="N7" s="12" t="s">
        <v>128</v>
      </c>
      <c r="O7" s="15" t="s">
        <v>129</v>
      </c>
      <c r="P7" s="12" t="s">
        <v>130</v>
      </c>
      <c r="Q7" s="12" t="s">
        <v>131</v>
      </c>
      <c r="R7" s="12" t="s">
        <v>132</v>
      </c>
      <c r="S7" s="12" t="s">
        <v>133</v>
      </c>
    </row>
    <row r="8" spans="1:19" ht="22.5" customHeight="1">
      <c r="A8" s="11">
        <v>45964.593899872685</v>
      </c>
      <c r="B8" s="12" t="s">
        <v>35</v>
      </c>
      <c r="C8" s="12" t="s">
        <v>134</v>
      </c>
      <c r="D8" s="12" t="s">
        <v>87</v>
      </c>
      <c r="E8" s="12" t="s">
        <v>135</v>
      </c>
      <c r="F8" s="12" t="s">
        <v>136</v>
      </c>
      <c r="G8" s="13">
        <v>45932</v>
      </c>
      <c r="H8" s="12" t="s">
        <v>137</v>
      </c>
      <c r="I8" s="12" t="s">
        <v>106</v>
      </c>
      <c r="J8" s="12" t="s">
        <v>138</v>
      </c>
      <c r="K8" s="12" t="s">
        <v>139</v>
      </c>
      <c r="L8" s="12">
        <v>30</v>
      </c>
      <c r="M8" s="12">
        <v>0</v>
      </c>
      <c r="N8" s="12" t="s">
        <v>140</v>
      </c>
      <c r="O8" s="15" t="s">
        <v>141</v>
      </c>
      <c r="P8" s="12" t="s">
        <v>142</v>
      </c>
      <c r="Q8" s="12" t="s">
        <v>143</v>
      </c>
      <c r="R8" s="12" t="s">
        <v>144</v>
      </c>
      <c r="S8" s="12" t="s">
        <v>145</v>
      </c>
    </row>
    <row r="9" spans="1:19" ht="22.5" customHeight="1">
      <c r="A9" s="11">
        <v>45964.620651516205</v>
      </c>
      <c r="B9" s="12" t="s">
        <v>35</v>
      </c>
      <c r="C9" s="12" t="s">
        <v>146</v>
      </c>
      <c r="D9" s="12" t="s">
        <v>87</v>
      </c>
      <c r="E9" s="12" t="s">
        <v>147</v>
      </c>
      <c r="F9" s="12" t="s">
        <v>136</v>
      </c>
      <c r="G9" s="13">
        <v>45939</v>
      </c>
      <c r="H9" s="12" t="s">
        <v>137</v>
      </c>
      <c r="I9" s="12" t="s">
        <v>106</v>
      </c>
      <c r="J9" s="12" t="s">
        <v>148</v>
      </c>
      <c r="K9" s="12">
        <v>60</v>
      </c>
      <c r="L9" s="12">
        <v>10</v>
      </c>
      <c r="M9" s="12">
        <v>0</v>
      </c>
      <c r="N9" s="12" t="s">
        <v>149</v>
      </c>
      <c r="O9" s="15" t="s">
        <v>150</v>
      </c>
      <c r="P9" s="12" t="s">
        <v>151</v>
      </c>
      <c r="Q9" s="12" t="s">
        <v>152</v>
      </c>
      <c r="R9" s="12" t="s">
        <v>153</v>
      </c>
      <c r="S9" s="12" t="s">
        <v>22</v>
      </c>
    </row>
    <row r="10" spans="1:19" ht="22.5" customHeight="1">
      <c r="A10" s="11">
        <v>45964.623998981479</v>
      </c>
      <c r="B10" s="12" t="s">
        <v>35</v>
      </c>
      <c r="C10" s="12" t="s">
        <v>154</v>
      </c>
      <c r="D10" s="12" t="s">
        <v>87</v>
      </c>
      <c r="E10" s="12" t="s">
        <v>155</v>
      </c>
      <c r="F10" s="12" t="s">
        <v>136</v>
      </c>
      <c r="G10" s="13">
        <v>45946</v>
      </c>
      <c r="H10" s="12" t="s">
        <v>137</v>
      </c>
      <c r="I10" s="12" t="s">
        <v>106</v>
      </c>
      <c r="J10" s="12" t="s">
        <v>138</v>
      </c>
      <c r="K10" s="12">
        <v>70</v>
      </c>
      <c r="L10" s="12">
        <v>15</v>
      </c>
      <c r="M10" s="12">
        <v>0</v>
      </c>
      <c r="N10" s="12" t="s">
        <v>156</v>
      </c>
      <c r="P10" s="12" t="s">
        <v>142</v>
      </c>
      <c r="Q10" s="12" t="s">
        <v>157</v>
      </c>
      <c r="R10" s="12" t="s">
        <v>22</v>
      </c>
      <c r="S10" s="12" t="s">
        <v>22</v>
      </c>
    </row>
    <row r="11" spans="1:19" ht="22.5" customHeight="1">
      <c r="A11" s="11">
        <v>45964.629740543984</v>
      </c>
      <c r="B11" s="12" t="s">
        <v>35</v>
      </c>
      <c r="C11" s="12" t="s">
        <v>146</v>
      </c>
      <c r="D11" s="12" t="s">
        <v>87</v>
      </c>
      <c r="E11" s="12" t="s">
        <v>155</v>
      </c>
      <c r="F11" s="12" t="s">
        <v>136</v>
      </c>
      <c r="G11" s="13">
        <v>45953</v>
      </c>
      <c r="H11" s="12" t="s">
        <v>137</v>
      </c>
      <c r="I11" s="12" t="s">
        <v>106</v>
      </c>
      <c r="J11" s="12" t="s">
        <v>158</v>
      </c>
      <c r="K11" s="12">
        <v>100</v>
      </c>
      <c r="L11" s="12">
        <v>10</v>
      </c>
      <c r="M11" s="12">
        <v>0</v>
      </c>
      <c r="N11" s="12" t="s">
        <v>159</v>
      </c>
      <c r="O11" s="15" t="s">
        <v>160</v>
      </c>
      <c r="P11" s="12" t="s">
        <v>151</v>
      </c>
      <c r="Q11" s="12" t="s">
        <v>161</v>
      </c>
      <c r="R11" s="12" t="s">
        <v>162</v>
      </c>
      <c r="S11" s="12" t="s">
        <v>163</v>
      </c>
    </row>
    <row r="12" spans="1:19" ht="22.5" customHeight="1">
      <c r="A12" s="11">
        <v>45964.906490011577</v>
      </c>
      <c r="B12" s="12" t="s">
        <v>35</v>
      </c>
      <c r="C12" s="12" t="s">
        <v>164</v>
      </c>
      <c r="D12" s="12" t="s">
        <v>165</v>
      </c>
      <c r="E12" s="12" t="s">
        <v>166</v>
      </c>
      <c r="F12" s="12" t="s">
        <v>167</v>
      </c>
      <c r="G12" s="13">
        <v>45959</v>
      </c>
      <c r="H12" s="12" t="s">
        <v>168</v>
      </c>
      <c r="I12" s="12" t="s">
        <v>106</v>
      </c>
      <c r="J12" s="12" t="s">
        <v>169</v>
      </c>
      <c r="K12" s="12">
        <v>67</v>
      </c>
      <c r="L12" s="12">
        <v>54</v>
      </c>
      <c r="M12" s="12">
        <v>119</v>
      </c>
      <c r="N12" s="12" t="s">
        <v>170</v>
      </c>
      <c r="O12" s="15" t="s">
        <v>171</v>
      </c>
      <c r="P12" s="12" t="s">
        <v>172</v>
      </c>
      <c r="Q12" s="12" t="s">
        <v>173</v>
      </c>
      <c r="R12" s="12" t="s">
        <v>22</v>
      </c>
      <c r="S12" s="12" t="s">
        <v>174</v>
      </c>
    </row>
    <row r="13" spans="1:19" ht="22.5" customHeight="1">
      <c r="A13" s="11">
        <v>45967.425171226852</v>
      </c>
      <c r="B13" s="12" t="s">
        <v>19</v>
      </c>
      <c r="C13" s="12" t="s">
        <v>175</v>
      </c>
      <c r="D13" s="12" t="s">
        <v>87</v>
      </c>
      <c r="E13" s="12" t="s">
        <v>176</v>
      </c>
      <c r="F13" s="12" t="s">
        <v>177</v>
      </c>
      <c r="G13" s="13">
        <v>45965</v>
      </c>
      <c r="H13" s="12" t="s">
        <v>168</v>
      </c>
      <c r="I13" s="12" t="s">
        <v>106</v>
      </c>
      <c r="J13" s="12" t="s">
        <v>178</v>
      </c>
      <c r="K13" s="12">
        <v>18</v>
      </c>
      <c r="L13" s="12">
        <v>2</v>
      </c>
      <c r="M13" s="12">
        <v>0</v>
      </c>
      <c r="N13" s="12" t="s">
        <v>179</v>
      </c>
      <c r="O13" s="15" t="s">
        <v>180</v>
      </c>
      <c r="P13" s="12" t="s">
        <v>181</v>
      </c>
      <c r="Q13" s="12" t="s">
        <v>182</v>
      </c>
      <c r="R13" s="12" t="s">
        <v>183</v>
      </c>
      <c r="S13" s="12" t="s">
        <v>184</v>
      </c>
    </row>
    <row r="14" spans="1:19" ht="22.5" customHeight="1">
      <c r="A14" s="11">
        <v>45972.309752071757</v>
      </c>
      <c r="B14" s="12" t="s">
        <v>19</v>
      </c>
      <c r="C14" s="12" t="s">
        <v>185</v>
      </c>
      <c r="D14" s="12" t="s">
        <v>87</v>
      </c>
      <c r="E14" s="12" t="s">
        <v>176</v>
      </c>
      <c r="F14" s="12" t="s">
        <v>186</v>
      </c>
      <c r="G14" s="13">
        <v>45969</v>
      </c>
      <c r="H14" s="12" t="s">
        <v>187</v>
      </c>
      <c r="I14" s="12" t="s">
        <v>106</v>
      </c>
      <c r="J14" s="12" t="s">
        <v>178</v>
      </c>
      <c r="K14" s="12">
        <v>8</v>
      </c>
      <c r="L14" s="12">
        <v>2</v>
      </c>
      <c r="M14" s="12">
        <v>0</v>
      </c>
      <c r="N14" s="12" t="s">
        <v>188</v>
      </c>
      <c r="O14" s="15" t="s">
        <v>189</v>
      </c>
      <c r="P14" s="12" t="s">
        <v>190</v>
      </c>
      <c r="Q14" s="12" t="s">
        <v>191</v>
      </c>
      <c r="R14" s="12" t="s">
        <v>192</v>
      </c>
    </row>
    <row r="15" spans="1:19" ht="22.5" customHeight="1">
      <c r="A15" s="11">
        <v>45980.434640868058</v>
      </c>
      <c r="B15" s="12" t="s">
        <v>35</v>
      </c>
      <c r="C15" s="12" t="s">
        <v>193</v>
      </c>
      <c r="D15" s="12" t="s">
        <v>194</v>
      </c>
      <c r="E15" s="12" t="s">
        <v>195</v>
      </c>
      <c r="F15" s="12" t="s">
        <v>196</v>
      </c>
      <c r="G15" s="13">
        <v>45973</v>
      </c>
      <c r="H15" s="12" t="s">
        <v>116</v>
      </c>
      <c r="I15" s="12" t="s">
        <v>106</v>
      </c>
      <c r="J15" s="12" t="s">
        <v>158</v>
      </c>
      <c r="K15" s="12">
        <v>6</v>
      </c>
      <c r="L15" s="12">
        <v>2</v>
      </c>
      <c r="M15" s="12">
        <v>300</v>
      </c>
      <c r="N15" s="12" t="s">
        <v>197</v>
      </c>
      <c r="O15" s="15" t="s">
        <v>198</v>
      </c>
      <c r="P15" s="12" t="s">
        <v>199</v>
      </c>
      <c r="Q15" s="12" t="s">
        <v>200</v>
      </c>
      <c r="R15" s="12" t="s">
        <v>22</v>
      </c>
      <c r="S15" s="12" t="s">
        <v>201</v>
      </c>
    </row>
    <row r="16" spans="1:19" ht="22.5" customHeight="1">
      <c r="A16" s="11">
        <v>45980.455271481478</v>
      </c>
      <c r="B16" s="12" t="s">
        <v>35</v>
      </c>
      <c r="C16" s="12" t="s">
        <v>202</v>
      </c>
      <c r="D16" s="12" t="s">
        <v>203</v>
      </c>
      <c r="E16" s="12" t="s">
        <v>195</v>
      </c>
      <c r="F16" s="12" t="s">
        <v>196</v>
      </c>
      <c r="G16" s="13">
        <v>45975</v>
      </c>
      <c r="H16" s="12" t="s">
        <v>116</v>
      </c>
      <c r="I16" s="12" t="s">
        <v>106</v>
      </c>
      <c r="J16" s="12" t="s">
        <v>204</v>
      </c>
      <c r="K16" s="12">
        <v>10</v>
      </c>
      <c r="L16" s="12">
        <v>2</v>
      </c>
      <c r="M16" s="12">
        <v>400</v>
      </c>
      <c r="N16" s="12" t="s">
        <v>205</v>
      </c>
      <c r="O16" s="15" t="s">
        <v>206</v>
      </c>
      <c r="P16" s="12" t="s">
        <v>199</v>
      </c>
      <c r="Q16" s="12" t="s">
        <v>207</v>
      </c>
      <c r="R16" s="12" t="s">
        <v>208</v>
      </c>
      <c r="S16" s="12" t="s">
        <v>209</v>
      </c>
    </row>
    <row r="17" spans="1:19" ht="22.5" customHeight="1">
      <c r="A17" s="11">
        <v>45983.565339131943</v>
      </c>
      <c r="B17" s="12" t="s">
        <v>78</v>
      </c>
      <c r="C17" s="12" t="s">
        <v>210</v>
      </c>
      <c r="D17" s="12" t="s">
        <v>87</v>
      </c>
      <c r="E17" s="12" t="s">
        <v>211</v>
      </c>
      <c r="F17" s="12" t="s">
        <v>212</v>
      </c>
      <c r="G17" s="13">
        <v>45979</v>
      </c>
      <c r="H17" s="12" t="s">
        <v>213</v>
      </c>
      <c r="I17" s="12" t="s">
        <v>90</v>
      </c>
      <c r="J17" s="12" t="s">
        <v>214</v>
      </c>
      <c r="K17" s="12">
        <v>8</v>
      </c>
      <c r="L17" s="12">
        <v>2</v>
      </c>
      <c r="M17" s="12">
        <v>0</v>
      </c>
      <c r="N17" s="12" t="s">
        <v>215</v>
      </c>
      <c r="O17" s="15" t="s">
        <v>216</v>
      </c>
      <c r="P17" s="12" t="s">
        <v>217</v>
      </c>
      <c r="Q17" s="12" t="s">
        <v>218</v>
      </c>
      <c r="R17" s="12" t="s">
        <v>219</v>
      </c>
      <c r="S17" s="12" t="s">
        <v>220</v>
      </c>
    </row>
    <row r="18" spans="1:19" ht="22.5" customHeight="1">
      <c r="A18" s="11">
        <v>45983.585123310186</v>
      </c>
      <c r="B18" s="12" t="s">
        <v>78</v>
      </c>
      <c r="C18" s="12" t="s">
        <v>221</v>
      </c>
      <c r="D18" s="12" t="s">
        <v>87</v>
      </c>
      <c r="E18" s="12" t="s">
        <v>88</v>
      </c>
      <c r="F18" s="12" t="s">
        <v>222</v>
      </c>
      <c r="G18" s="13">
        <v>45981</v>
      </c>
      <c r="H18" s="12" t="s">
        <v>83</v>
      </c>
      <c r="I18" s="12" t="s">
        <v>90</v>
      </c>
      <c r="J18" s="12" t="s">
        <v>223</v>
      </c>
      <c r="K18" s="12">
        <v>78</v>
      </c>
      <c r="L18" s="12">
        <v>14</v>
      </c>
      <c r="M18" s="12">
        <v>5</v>
      </c>
      <c r="N18" s="12" t="s">
        <v>224</v>
      </c>
      <c r="O18" s="15" t="s">
        <v>225</v>
      </c>
      <c r="P18" s="12" t="s">
        <v>226</v>
      </c>
      <c r="Q18" s="12" t="s">
        <v>227</v>
      </c>
      <c r="R18" s="12" t="s">
        <v>228</v>
      </c>
      <c r="S18" s="12" t="s">
        <v>229</v>
      </c>
    </row>
    <row r="19" spans="1:19" ht="22.5" customHeight="1">
      <c r="A19" s="11">
        <v>45983.622804444443</v>
      </c>
      <c r="B19" s="12" t="s">
        <v>78</v>
      </c>
      <c r="C19" s="12" t="s">
        <v>230</v>
      </c>
      <c r="D19" s="12" t="s">
        <v>87</v>
      </c>
      <c r="E19" s="12" t="s">
        <v>211</v>
      </c>
      <c r="F19" s="12" t="s">
        <v>231</v>
      </c>
      <c r="G19" s="13">
        <v>45979</v>
      </c>
      <c r="H19" s="12" t="s">
        <v>213</v>
      </c>
      <c r="I19" s="12" t="s">
        <v>90</v>
      </c>
      <c r="J19" s="12" t="s">
        <v>223</v>
      </c>
      <c r="K19" s="12">
        <v>8</v>
      </c>
      <c r="L19" s="12">
        <v>2</v>
      </c>
      <c r="M19" s="12">
        <v>0</v>
      </c>
      <c r="N19" s="12" t="s">
        <v>232</v>
      </c>
      <c r="O19" s="15" t="s">
        <v>233</v>
      </c>
      <c r="P19" s="12" t="s">
        <v>234</v>
      </c>
      <c r="Q19" s="12" t="s">
        <v>235</v>
      </c>
      <c r="R19" s="12" t="s">
        <v>236</v>
      </c>
      <c r="S19" s="12" t="s">
        <v>237</v>
      </c>
    </row>
    <row r="20" spans="1:19" ht="22.5" customHeight="1">
      <c r="A20" s="11">
        <v>45983.637714722223</v>
      </c>
      <c r="B20" s="12" t="s">
        <v>78</v>
      </c>
      <c r="C20" s="12" t="s">
        <v>238</v>
      </c>
      <c r="D20" s="12" t="s">
        <v>87</v>
      </c>
      <c r="E20" s="12" t="s">
        <v>211</v>
      </c>
      <c r="F20" s="12" t="s">
        <v>239</v>
      </c>
      <c r="G20" s="13">
        <v>45980</v>
      </c>
      <c r="H20" s="12" t="s">
        <v>105</v>
      </c>
      <c r="I20" s="12" t="s">
        <v>90</v>
      </c>
      <c r="J20" s="12" t="s">
        <v>223</v>
      </c>
      <c r="K20" s="12">
        <v>8</v>
      </c>
      <c r="L20" s="12">
        <v>2</v>
      </c>
      <c r="M20" s="12">
        <v>0</v>
      </c>
      <c r="N20" s="12" t="s">
        <v>240</v>
      </c>
      <c r="O20" s="15" t="s">
        <v>241</v>
      </c>
      <c r="P20" s="12" t="s">
        <v>242</v>
      </c>
      <c r="Q20" s="12" t="s">
        <v>243</v>
      </c>
      <c r="R20" s="12" t="s">
        <v>244</v>
      </c>
      <c r="S20" s="12" t="s">
        <v>245</v>
      </c>
    </row>
    <row r="21" spans="1:19" ht="22.5" customHeight="1">
      <c r="A21" s="11">
        <v>45986.227157500005</v>
      </c>
      <c r="B21" s="12" t="s">
        <v>78</v>
      </c>
      <c r="C21" s="12" t="s">
        <v>246</v>
      </c>
      <c r="D21" s="12" t="s">
        <v>87</v>
      </c>
      <c r="E21" s="12" t="s">
        <v>88</v>
      </c>
      <c r="F21" s="12" t="s">
        <v>247</v>
      </c>
      <c r="G21" s="13">
        <v>45985</v>
      </c>
      <c r="H21" s="12" t="s">
        <v>83</v>
      </c>
      <c r="I21" s="12" t="s">
        <v>90</v>
      </c>
      <c r="J21" s="12" t="s">
        <v>223</v>
      </c>
      <c r="K21" s="12">
        <v>0</v>
      </c>
      <c r="L21" s="12">
        <v>106</v>
      </c>
      <c r="M21" s="12">
        <v>0</v>
      </c>
      <c r="N21" s="12" t="s">
        <v>248</v>
      </c>
      <c r="O21" s="15" t="s">
        <v>249</v>
      </c>
      <c r="P21" s="12" t="s">
        <v>250</v>
      </c>
      <c r="Q21" s="12" t="s">
        <v>251</v>
      </c>
      <c r="R21" s="12" t="s">
        <v>252</v>
      </c>
      <c r="S21" s="12" t="s">
        <v>253</v>
      </c>
    </row>
  </sheetData>
  <hyperlinks>
    <hyperlink ref="O3" r:id="rId1" xr:uid="{00000000-0004-0000-0100-000000000000}"/>
    <hyperlink ref="O4" r:id="rId2" xr:uid="{00000000-0004-0000-0100-000001000000}"/>
    <hyperlink ref="O5" r:id="rId3" xr:uid="{00000000-0004-0000-0100-000002000000}"/>
    <hyperlink ref="O6" r:id="rId4" xr:uid="{00000000-0004-0000-0100-000003000000}"/>
    <hyperlink ref="O7" r:id="rId5" xr:uid="{00000000-0004-0000-0100-000004000000}"/>
    <hyperlink ref="O8" r:id="rId6" xr:uid="{00000000-0004-0000-0100-000005000000}"/>
    <hyperlink ref="O9" r:id="rId7" xr:uid="{00000000-0004-0000-0100-000006000000}"/>
    <hyperlink ref="O11" r:id="rId8" xr:uid="{00000000-0004-0000-0100-000007000000}"/>
    <hyperlink ref="O12" r:id="rId9" xr:uid="{00000000-0004-0000-0100-000008000000}"/>
    <hyperlink ref="O13" r:id="rId10" xr:uid="{00000000-0004-0000-0100-000009000000}"/>
    <hyperlink ref="O14" r:id="rId11" xr:uid="{00000000-0004-0000-0100-00000A000000}"/>
    <hyperlink ref="O15" r:id="rId12" xr:uid="{00000000-0004-0000-0100-00000B000000}"/>
    <hyperlink ref="O16" r:id="rId13" xr:uid="{00000000-0004-0000-0100-00000C000000}"/>
    <hyperlink ref="O17" r:id="rId14" xr:uid="{00000000-0004-0000-0100-00000D000000}"/>
    <hyperlink ref="O18" r:id="rId15" xr:uid="{00000000-0004-0000-0100-00000E000000}"/>
    <hyperlink ref="O19" r:id="rId16" xr:uid="{00000000-0004-0000-0100-00000F000000}"/>
    <hyperlink ref="O20" r:id="rId17" xr:uid="{00000000-0004-0000-0100-000010000000}"/>
    <hyperlink ref="O21" r:id="rId18" xr:uid="{00000000-0004-0000-0100-000011000000}"/>
  </hyperlinks>
  <pageMargins left="0.7" right="0.7" top="0.75" bottom="0.75" header="0.3" footer="0.3"/>
  <tableParts count="1">
    <tablePart r:id="rId1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00"/>
  <sheetViews>
    <sheetView tabSelected="1" topLeftCell="G1" workbookViewId="0">
      <pane ySplit="3" topLeftCell="A31" activePane="bottomLeft" state="frozen"/>
      <selection pane="bottomLeft" activeCell="B5" sqref="B5"/>
    </sheetView>
  </sheetViews>
  <sheetFormatPr baseColWidth="10" defaultColWidth="12.6640625" defaultRowHeight="15.75" customHeight="1"/>
  <cols>
    <col min="1" max="1" width="18.88671875" customWidth="1"/>
    <col min="2" max="2" width="12.6640625" customWidth="1"/>
    <col min="3" max="3" width="23.88671875" customWidth="1"/>
    <col min="4" max="4" width="18.33203125" customWidth="1"/>
    <col min="5" max="5" width="25.33203125" customWidth="1"/>
    <col min="6" max="6" width="17.88671875" customWidth="1"/>
    <col min="7" max="7" width="22.44140625" customWidth="1"/>
    <col min="8" max="8" width="12.6640625" customWidth="1"/>
    <col min="9" max="9" width="10.109375" customWidth="1"/>
  </cols>
  <sheetData>
    <row r="1" spans="1:9" ht="37.5" customHeight="1">
      <c r="A1" s="43" t="s">
        <v>263</v>
      </c>
      <c r="B1" s="36"/>
      <c r="C1" s="36"/>
      <c r="D1" s="36"/>
      <c r="E1" s="36"/>
      <c r="F1" s="36"/>
      <c r="G1" s="36"/>
      <c r="H1" s="36"/>
      <c r="I1" s="36"/>
    </row>
    <row r="2" spans="1:9" ht="26.25" customHeight="1">
      <c r="A2" s="44" t="s">
        <v>264</v>
      </c>
      <c r="B2" s="36"/>
      <c r="C2" s="36"/>
      <c r="D2" s="36"/>
      <c r="E2" s="36"/>
      <c r="F2" s="36"/>
      <c r="G2" s="36"/>
      <c r="H2" s="36"/>
      <c r="I2" s="36"/>
    </row>
    <row r="3" spans="1:9" ht="17.399999999999999">
      <c r="A3" s="45" t="s">
        <v>265</v>
      </c>
      <c r="B3" s="36"/>
      <c r="C3" s="36"/>
      <c r="D3" s="36"/>
      <c r="E3" s="36"/>
      <c r="F3" s="36"/>
      <c r="G3" s="36"/>
      <c r="H3" s="36"/>
      <c r="I3" s="36"/>
    </row>
    <row r="4" spans="1:9" ht="22.5" customHeight="1">
      <c r="A4" s="18" t="s">
        <v>266</v>
      </c>
      <c r="B4" s="18" t="s">
        <v>267</v>
      </c>
      <c r="C4" s="18" t="s">
        <v>266</v>
      </c>
      <c r="D4" s="18" t="s">
        <v>267</v>
      </c>
      <c r="E4" s="18" t="s">
        <v>266</v>
      </c>
      <c r="F4" s="18" t="s">
        <v>267</v>
      </c>
      <c r="G4" s="18" t="s">
        <v>266</v>
      </c>
      <c r="H4" s="18" t="s">
        <v>267</v>
      </c>
    </row>
    <row r="5" spans="1:9" ht="30" customHeight="1">
      <c r="A5" s="19" t="s">
        <v>257</v>
      </c>
      <c r="B5" s="20">
        <f>COUNTA(Donnees_Activites!C2:C1000)</f>
        <v>20</v>
      </c>
      <c r="C5" s="21" t="s">
        <v>254</v>
      </c>
      <c r="D5" s="20">
        <f>SUM(Donnees_Activites!K2:K1000)+SUM(Donnees_Activites!L2:L1000)+SUM(Donnees_Activites!M2:M1000)</f>
        <v>3306</v>
      </c>
      <c r="E5" s="21" t="s">
        <v>268</v>
      </c>
      <c r="F5" s="22">
        <f>IF(B5&gt;0, D5/B5, 0)</f>
        <v>165.3</v>
      </c>
      <c r="G5" s="21" t="s">
        <v>260</v>
      </c>
      <c r="H5" s="20">
        <f ca="1">COUNTIFS(Donnees_Activites!G2:G1000, "&gt;="&amp;EOMONTH(TODAY(),-1)+1, Donnees_Activites!G2:G1000, "&lt;="&amp;EOMONTH(TODAY(),0))</f>
        <v>9</v>
      </c>
    </row>
    <row r="6" spans="1:9" ht="17.399999999999999">
      <c r="A6" s="19" t="s">
        <v>269</v>
      </c>
      <c r="B6" s="20">
        <f ca="1">IFERROR(__xludf.DUMMYFUNCTION("COUNTA(UNIQUE(FILTER(Donnees_Activites!D2:D1000, Donnees_Activites!D2:D1000&lt;&gt;"""")))"),6)</f>
        <v>6</v>
      </c>
      <c r="C6" s="21" t="s">
        <v>259</v>
      </c>
      <c r="D6" s="20">
        <f ca="1">IFERROR(__xludf.DUMMYFUNCTION("COUNTA(UNIQUE(FILTER(Donnees_Activites!J2:J1000, Donnees_Activites!J2:J1000&lt;&gt;"""")))"),14)</f>
        <v>14</v>
      </c>
      <c r="E6" s="21" t="s">
        <v>270</v>
      </c>
      <c r="F6" s="20">
        <f ca="1">IFERROR(__xludf.DUMMYFUNCTION("COUNTA(UNIQUE(FILTER(Donnees_Activites!E2:E1000, Donnees_Activites!E2:E1000&lt;&gt;"""")))"),11)</f>
        <v>11</v>
      </c>
      <c r="G6" s="21" t="s">
        <v>271</v>
      </c>
      <c r="H6" s="20">
        <f ca="1">IFERROR(__xludf.DUMMYFUNCTION("COUNTA(UNIQUE(FILTER(Donnees_Activites!I2:I1000, Donnees_Activites!I2:I1000&lt;&gt;"""")))"),3)</f>
        <v>3</v>
      </c>
    </row>
    <row r="8" spans="1:9" ht="17.399999999999999">
      <c r="A8" s="46" t="s">
        <v>272</v>
      </c>
      <c r="B8" s="36"/>
      <c r="C8" s="36"/>
      <c r="D8" s="36"/>
      <c r="E8" s="36"/>
      <c r="F8" s="36"/>
      <c r="G8" s="36"/>
      <c r="H8" s="36"/>
      <c r="I8" s="36"/>
    </row>
    <row r="9" spans="1:9" ht="13.2">
      <c r="A9" s="23" t="s">
        <v>273</v>
      </c>
      <c r="B9" s="24" t="s">
        <v>274</v>
      </c>
      <c r="C9" s="25" t="s">
        <v>275</v>
      </c>
      <c r="D9" s="24" t="s">
        <v>274</v>
      </c>
      <c r="E9" s="25" t="s">
        <v>276</v>
      </c>
      <c r="F9" s="24" t="s">
        <v>274</v>
      </c>
      <c r="G9" s="25" t="s">
        <v>277</v>
      </c>
      <c r="H9" s="24" t="s">
        <v>274</v>
      </c>
    </row>
    <row r="10" spans="1:9" ht="13.2">
      <c r="A10" s="47" t="s">
        <v>278</v>
      </c>
      <c r="B10" s="36"/>
      <c r="C10" s="36"/>
      <c r="D10" s="36"/>
      <c r="E10" s="36"/>
      <c r="F10" s="36"/>
      <c r="G10" s="36"/>
      <c r="H10" s="36"/>
      <c r="I10" s="36"/>
    </row>
    <row r="11" spans="1:9" ht="13.2">
      <c r="A11" s="26"/>
      <c r="B11" s="26"/>
      <c r="C11" s="26"/>
      <c r="D11" s="26"/>
      <c r="F11" s="26"/>
      <c r="G11" s="26"/>
      <c r="H11" s="26"/>
      <c r="I11" s="26"/>
    </row>
    <row r="12" spans="1:9" ht="16.8">
      <c r="A12" s="48" t="s">
        <v>279</v>
      </c>
      <c r="B12" s="38"/>
      <c r="C12" s="38"/>
      <c r="D12" s="39"/>
      <c r="F12" s="49" t="s">
        <v>280</v>
      </c>
      <c r="G12" s="38"/>
      <c r="H12" s="38"/>
      <c r="I12" s="39"/>
    </row>
    <row r="13" spans="1:9" ht="13.2">
      <c r="A13" s="27" t="s">
        <v>62</v>
      </c>
      <c r="B13" s="28" t="s">
        <v>261</v>
      </c>
      <c r="C13" s="28" t="s">
        <v>281</v>
      </c>
      <c r="D13" s="29" t="s">
        <v>282</v>
      </c>
      <c r="F13" s="27" t="s">
        <v>262</v>
      </c>
      <c r="G13" s="28" t="s">
        <v>261</v>
      </c>
      <c r="H13" s="28" t="s">
        <v>281</v>
      </c>
      <c r="I13" s="27" t="s">
        <v>283</v>
      </c>
    </row>
    <row r="14" spans="1:9" ht="13.2">
      <c r="A14" s="30" t="str">
        <f ca="1">IFERROR(__xludf.DUMMYFUNCTION("QUERY({Donnees_Activites!D2:D1000, Donnees_Activites!K2:K1000+Donnees_Activites!L2:L1000+Donnees_Activites!M2:M1000}, ""SELECT Col1, COUNT(Col1), SUM(Col2) WHERE Col1 IS NOT NULL GROUP BY Col1 ORDER BY COUNT(Col1) DESC LIMIT 10 LABEL Col1 'Organisateur', "&amp;"COUNT(Col1) 'Activités', SUM(Col2) 'Participants'"")"),"#REF!")</f>
        <v>#REF!</v>
      </c>
      <c r="B14" s="31"/>
      <c r="C14" s="31"/>
      <c r="D14" s="32" t="str">
        <f t="array" ref="D14:D23">IF(B14:B23&gt;0, C14:C23/B14:B23, "")</f>
        <v/>
      </c>
      <c r="F14" s="30" t="str">
        <f ca="1">IFERROR(__xludf.DUMMYFUNCTION("QUERY({Donnees_Activites!E2:E1000, Donnees_Activites!K2:K1000+Donnees_Activites!L2:L1000+Donnees_Activites!M2:M1000}, ""SELECT Col1, COUNT(Col1), SUM(Col2), COUNT(Col1)/Donnees_Activites!B5 WHERE Col1 IS NOT NULL GROUP BY Col1 ORDER BY COUNT(Col1) DESC LA"&amp;"BEL Col1 'Type', COUNT(Col1) 'Activités', SUM(Col2) 'Participants'"")"),"#REF!")</f>
        <v>#REF!</v>
      </c>
      <c r="G14" s="31"/>
      <c r="H14" s="31"/>
      <c r="I14" s="33"/>
    </row>
    <row r="15" spans="1:9" ht="13.2">
      <c r="A15" s="30"/>
      <c r="B15" s="31"/>
      <c r="C15" s="31"/>
      <c r="D15" s="32" t="str">
        <v/>
      </c>
      <c r="F15" s="30"/>
      <c r="G15" s="31"/>
      <c r="H15" s="31"/>
      <c r="I15" s="33"/>
    </row>
    <row r="16" spans="1:9" ht="13.2">
      <c r="A16" s="30"/>
      <c r="B16" s="31"/>
      <c r="C16" s="31"/>
      <c r="D16" s="32" t="str">
        <v/>
      </c>
      <c r="F16" s="30"/>
      <c r="G16" s="31"/>
      <c r="H16" s="31"/>
      <c r="I16" s="33"/>
    </row>
    <row r="17" spans="1:9" ht="13.2">
      <c r="A17" s="30"/>
      <c r="B17" s="31"/>
      <c r="C17" s="31"/>
      <c r="D17" s="32" t="str">
        <v/>
      </c>
      <c r="F17" s="30"/>
      <c r="G17" s="31"/>
      <c r="H17" s="31"/>
      <c r="I17" s="33"/>
    </row>
    <row r="18" spans="1:9" ht="13.2">
      <c r="A18" s="30"/>
      <c r="B18" s="31"/>
      <c r="C18" s="31"/>
      <c r="D18" s="32" t="str">
        <v/>
      </c>
      <c r="F18" s="30"/>
      <c r="G18" s="31"/>
      <c r="H18" s="31"/>
      <c r="I18" s="33"/>
    </row>
    <row r="19" spans="1:9" ht="13.2">
      <c r="A19" s="30"/>
      <c r="B19" s="31"/>
      <c r="C19" s="31"/>
      <c r="D19" s="32" t="str">
        <v/>
      </c>
      <c r="F19" s="30"/>
      <c r="G19" s="31"/>
      <c r="H19" s="31"/>
      <c r="I19" s="33"/>
    </row>
    <row r="20" spans="1:9" ht="13.2">
      <c r="A20" s="30"/>
      <c r="B20" s="31"/>
      <c r="C20" s="31"/>
      <c r="D20" s="32" t="str">
        <v/>
      </c>
      <c r="F20" s="30"/>
      <c r="G20" s="31"/>
      <c r="H20" s="31"/>
      <c r="I20" s="33"/>
    </row>
    <row r="21" spans="1:9" ht="13.2">
      <c r="A21" s="30"/>
      <c r="B21" s="31"/>
      <c r="C21" s="31"/>
      <c r="D21" s="32" t="str">
        <v/>
      </c>
      <c r="F21" s="30"/>
      <c r="G21" s="31"/>
      <c r="H21" s="31"/>
      <c r="I21" s="33"/>
    </row>
    <row r="22" spans="1:9" ht="13.2">
      <c r="A22" s="30"/>
      <c r="B22" s="31"/>
      <c r="C22" s="31"/>
      <c r="D22" s="32" t="str">
        <v/>
      </c>
      <c r="F22" s="30"/>
      <c r="G22" s="31"/>
      <c r="H22" s="31"/>
      <c r="I22" s="33"/>
    </row>
    <row r="23" spans="1:9" ht="13.2">
      <c r="A23" s="30"/>
      <c r="B23" s="31"/>
      <c r="C23" s="31"/>
      <c r="D23" s="32" t="str">
        <v/>
      </c>
      <c r="F23" s="30"/>
      <c r="G23" s="31"/>
      <c r="H23" s="31"/>
      <c r="I23" s="33"/>
    </row>
    <row r="24" spans="1:9" ht="13.2">
      <c r="F24" s="30"/>
      <c r="G24" s="31"/>
      <c r="H24" s="31"/>
      <c r="I24" s="33"/>
    </row>
    <row r="25" spans="1:9" ht="16.8">
      <c r="A25" s="37" t="s">
        <v>284</v>
      </c>
      <c r="B25" s="38"/>
      <c r="C25" s="38"/>
      <c r="D25" s="39"/>
      <c r="F25" s="40" t="s">
        <v>285</v>
      </c>
      <c r="G25" s="38"/>
      <c r="H25" s="38"/>
      <c r="I25" s="39"/>
    </row>
    <row r="26" spans="1:9" ht="13.2">
      <c r="A26" s="27" t="s">
        <v>255</v>
      </c>
      <c r="B26" s="27" t="s">
        <v>286</v>
      </c>
      <c r="C26" s="27" t="s">
        <v>261</v>
      </c>
      <c r="D26" s="27" t="s">
        <v>281</v>
      </c>
      <c r="F26" s="27" t="s">
        <v>256</v>
      </c>
      <c r="G26" s="28" t="s">
        <v>261</v>
      </c>
      <c r="H26" s="28" t="s">
        <v>281</v>
      </c>
      <c r="I26" s="27" t="s">
        <v>282</v>
      </c>
    </row>
    <row r="27" spans="1:9" ht="13.2">
      <c r="A27" s="30" t="str">
        <f ca="1">IFERROR(__xludf.DUMMYFUNCTION("QUERY({Donnees_Activites!J2:J1000, Donnees_Activites!I2:I1000, Donnees_Activites!K2:K1000+Donnees_Activites!L2:L1000+Donnees_Activites!M2:M1000}, ""SELECT Col1, Col2, COUNT(Col1), SUM(Col3) WHERE Col1 IS NOT NULL GROUP BY Col1, Col2 ORDER BY COUNT(Col1) D"&amp;"ESC LIMIT 10 LABEL Col1 'Lieu', Col2 'Secteur', COUNT(Col1) 'Activités', SUM(Col3) 'Participants'"")"),"#REF!")</f>
        <v>#REF!</v>
      </c>
      <c r="B27" s="30"/>
      <c r="C27" s="31"/>
      <c r="D27" s="31"/>
      <c r="F27" s="30" t="str">
        <f ca="1">TEXT(EDATE(TODAY(), -5), "mmm yyyy")</f>
        <v>juin yyyy</v>
      </c>
      <c r="G27" s="31">
        <f ca="1">COUNTIFS(Donnees_Activites!G2:G1000, "&gt;="&amp;DATE(YEAR(EDATE(TODAY(), -5)), MONTH(EDATE(TODAY(), -5)), 1), Donnees_Activites!G2:G1000, "&lt;"&amp;DATE(YEAR(EDATE(TODAY(), -4)), MONTH(EDATE(TODAY(), -4)), 1))</f>
        <v>0</v>
      </c>
      <c r="H27" s="31" t="s">
        <v>294</v>
      </c>
      <c r="I27" s="32">
        <f t="shared" ref="I27:I32" ca="1" si="0">IF(G27&gt;0, H27/G27, 0)</f>
        <v>0</v>
      </c>
    </row>
    <row r="28" spans="1:9" ht="13.2">
      <c r="A28" s="30"/>
      <c r="B28" s="30"/>
      <c r="C28" s="31"/>
      <c r="D28" s="31"/>
      <c r="F28" s="30" t="str">
        <f ca="1">TEXT(EDATE(TODAY(), -4), "mmm yyyy")</f>
        <v>juil yyyy</v>
      </c>
      <c r="G28" s="31">
        <f ca="1">COUNTIFS(Donnees_Activites!G2:G1000, "&gt;="&amp;DATE(YEAR(EDATE(TODAY(), -4)), MONTH(EDATE(TODAY(), -4)), 1), Donnees_Activites!G2:G1000, "&lt;"&amp;DATE(YEAR(EDATE(TODAY(), -3)), MONTH(EDATE(TODAY(), -3)), 1))</f>
        <v>0</v>
      </c>
      <c r="H28" s="31" t="s">
        <v>294</v>
      </c>
      <c r="I28" s="32">
        <f t="shared" ca="1" si="0"/>
        <v>0</v>
      </c>
    </row>
    <row r="29" spans="1:9" ht="13.2">
      <c r="A29" s="30"/>
      <c r="B29" s="30"/>
      <c r="C29" s="31"/>
      <c r="D29" s="31"/>
      <c r="F29" s="30" t="str">
        <f ca="1">TEXT(EDATE(TODAY(), -3), "mmm yyyy")</f>
        <v>août yyyy</v>
      </c>
      <c r="G29" s="31">
        <f ca="1">COUNTIFS(Donnees_Activites!G2:G1000, "&gt;="&amp;DATE(YEAR(EDATE(TODAY(), -3)), MONTH(EDATE(TODAY(), -3)), 1), Donnees_Activites!G2:G1000, "&lt;"&amp;DATE(YEAR(EDATE(TODAY(), -2)), MONTH(EDATE(TODAY(), -2)), 1))</f>
        <v>0</v>
      </c>
      <c r="H29" s="31" t="s">
        <v>294</v>
      </c>
      <c r="I29" s="32">
        <f t="shared" ca="1" si="0"/>
        <v>0</v>
      </c>
    </row>
    <row r="30" spans="1:9" ht="13.2">
      <c r="A30" s="30"/>
      <c r="B30" s="30"/>
      <c r="C30" s="31"/>
      <c r="D30" s="31"/>
      <c r="F30" s="30" t="str">
        <f ca="1">TEXT(EDATE(TODAY(), -2), "mmm yyyy")</f>
        <v>sept yyyy</v>
      </c>
      <c r="G30" s="31">
        <f ca="1">COUNTIFS(Donnees_Activites!G2:G1000, "&gt;="&amp;DATE(YEAR(EDATE(TODAY(), -2)), MONTH(EDATE(TODAY(), -2)), 1), Donnees_Activites!G2:G1000, "&lt;"&amp;DATE(YEAR(EDATE(TODAY(), -1)), MONTH(EDATE(TODAY(), -1)), 1))</f>
        <v>0</v>
      </c>
      <c r="H30" s="31" t="s">
        <v>294</v>
      </c>
      <c r="I30" s="32">
        <f t="shared" ca="1" si="0"/>
        <v>0</v>
      </c>
    </row>
    <row r="31" spans="1:9" ht="13.2">
      <c r="A31" s="30"/>
      <c r="B31" s="30"/>
      <c r="C31" s="31"/>
      <c r="D31" s="31"/>
      <c r="F31" s="30" t="str">
        <f ca="1">TEXT(EDATE(TODAY(), -1), "mmm yyyy")</f>
        <v>oct yyyy</v>
      </c>
      <c r="G31" s="31">
        <f ca="1">COUNTIFS(Donnees_Activites!G2:G1000, "&gt;="&amp;DATE(YEAR(EDATE(TODAY(), -1)), MONTH(EDATE(TODAY(), -1)), 1), Donnees_Activites!G2:G1000, "&lt;"&amp;DATE(YEAR(EDATE(TODAY(), 0)), MONTH(EDATE(TODAY(), 0)), 1))</f>
        <v>11</v>
      </c>
      <c r="H31" s="31" t="s">
        <v>294</v>
      </c>
      <c r="I31" s="32" t="e">
        <f t="shared" ca="1" si="0"/>
        <v>#VALUE!</v>
      </c>
    </row>
    <row r="32" spans="1:9" ht="13.2">
      <c r="A32" s="30"/>
      <c r="B32" s="30"/>
      <c r="C32" s="31"/>
      <c r="D32" s="31"/>
      <c r="F32" s="30" t="str">
        <f ca="1">TEXT(EDATE(TODAY(), 0), "mmm yyyy")</f>
        <v>nov yyyy</v>
      </c>
      <c r="G32" s="31">
        <f ca="1">COUNTIFS(Donnees_Activites!G2:G1000, "&gt;="&amp;DATE(YEAR(EDATE(TODAY(), 0)), MONTH(EDATE(TODAY(), 0)), 1), Donnees_Activites!G2:G1000, "&lt;"&amp;DATE(YEAR(EDATE(TODAY(), --1)), MONTH(EDATE(TODAY(), --1)), 1))</f>
        <v>9</v>
      </c>
      <c r="H32" s="31" t="s">
        <v>294</v>
      </c>
      <c r="I32" s="32" t="e">
        <f t="shared" ca="1" si="0"/>
        <v>#VALUE!</v>
      </c>
    </row>
    <row r="33" spans="1:9" ht="13.2">
      <c r="A33" s="34"/>
      <c r="B33" s="34"/>
      <c r="C33" s="31"/>
      <c r="D33" s="31"/>
      <c r="E33" s="26"/>
      <c r="F33" s="26"/>
      <c r="G33" s="26"/>
      <c r="H33" s="26"/>
    </row>
    <row r="34" spans="1:9" ht="17.399999999999999">
      <c r="A34" s="41" t="s">
        <v>287</v>
      </c>
      <c r="B34" s="38"/>
      <c r="C34" s="38"/>
      <c r="D34" s="38"/>
      <c r="E34" s="38"/>
      <c r="F34" s="38"/>
      <c r="G34" s="38"/>
      <c r="H34" s="39"/>
      <c r="I34" s="26"/>
    </row>
    <row r="35" spans="1:9" ht="13.2">
      <c r="A35" s="27" t="s">
        <v>286</v>
      </c>
      <c r="B35" s="28" t="s">
        <v>261</v>
      </c>
      <c r="C35" s="28" t="s">
        <v>281</v>
      </c>
      <c r="D35" s="28" t="s">
        <v>282</v>
      </c>
      <c r="E35" s="27" t="s">
        <v>288</v>
      </c>
      <c r="F35" s="27" t="s">
        <v>289</v>
      </c>
      <c r="G35" s="27" t="s">
        <v>258</v>
      </c>
      <c r="H35" s="27" t="s">
        <v>290</v>
      </c>
    </row>
    <row r="36" spans="1:9" ht="13.2">
      <c r="A36" s="30" t="str">
        <f ca="1">IFERROR(__xludf.DUMMYFUNCTION("QUERY({Donnees_Activites!I2:I1000, Donnees_Activites!K2:K1000+Donnees_Activites!L2:L1000+Donnees_Activites!M2:M1000}, ""SELECT Col1, COUNT(Col1), SUM(Col2), SUM(Col2)/COUNT(Col1) WHERE Col1 IS NOT NULL GROUP BY Col1 ORDER BY COUNT(Col1) DESC LABEL Col1 'S"&amp;"ecteur', COUNT(Col1) 'Activités', SUM(Col2) 'Participants', SUM(Col2)/COUNT(Col1) 'Moy./Act.'"")"),"#REF!")</f>
        <v>#REF!</v>
      </c>
      <c r="B36" s="31"/>
      <c r="C36" s="31"/>
      <c r="D36" s="32"/>
      <c r="E36" s="31" t="str">
        <f ca="1">IFERROR(__xludf.DUMMYFUNCTION("ARRAYFORMULA(IF(A36:A1000&lt;&gt;"""", COUNTUNIQUEIFS(Donnees_Activites!J2:J1000, Donnees_Activites!I2:I1000, A36:A1000), """"))"),"#REF!")</f>
        <v>#REF!</v>
      </c>
      <c r="F36" s="31" t="str">
        <f ca="1">IFERROR(__xludf.DUMMYFUNCTION("ARRAYFORMULA(IF(A36:A1000&lt;&gt;"""", COUNTUNIQUEIFS(Donnees_Activites!E2:E1000, Donnees_Activites!I2:I1000, A36:A1000), """"))"),"#REF!")</f>
        <v>#REF!</v>
      </c>
      <c r="G36" s="31" t="str">
        <f ca="1">IFERROR(__xludf.DUMMYFUNCTION("ARRAYFORMULA(IF(A36:A1000&lt;&gt;"""", COUNTUNIQUEIFS(Donnees_Activites!D2:D1000, Donnees_Activites!I2:I1000, A36:A1000), """"))"),"#REF!")</f>
        <v>#REF!</v>
      </c>
      <c r="H36" s="33" t="str">
        <f t="array" ref="H36:H1000">IF(B36:B1000&lt;&gt;"", B36:B1000/SUM(B36:B1000), "")</f>
        <v/>
      </c>
    </row>
    <row r="37" spans="1:9" ht="13.2">
      <c r="A37" s="30"/>
      <c r="B37" s="31"/>
      <c r="C37" s="31"/>
      <c r="D37" s="32"/>
      <c r="E37" s="31" t="str">
        <f ca="1">IFERROR(__xludf.DUMMYFUNCTION("""COMPUTED_VALUE"""),"")</f>
        <v/>
      </c>
      <c r="F37" s="31" t="str">
        <f ca="1">IFERROR(__xludf.DUMMYFUNCTION("""COMPUTED_VALUE"""),"")</f>
        <v/>
      </c>
      <c r="G37" s="31" t="str">
        <f ca="1">IFERROR(__xludf.DUMMYFUNCTION("""COMPUTED_VALUE"""),"")</f>
        <v/>
      </c>
      <c r="H37" s="33" t="str">
        <v/>
      </c>
    </row>
    <row r="38" spans="1:9" ht="13.2">
      <c r="A38" s="30"/>
      <c r="B38" s="31"/>
      <c r="C38" s="31"/>
      <c r="D38" s="32"/>
      <c r="E38" s="31" t="str">
        <f ca="1">IFERROR(__xludf.DUMMYFUNCTION("""COMPUTED_VALUE"""),"")</f>
        <v/>
      </c>
      <c r="F38" s="31" t="str">
        <f ca="1">IFERROR(__xludf.DUMMYFUNCTION("""COMPUTED_VALUE"""),"")</f>
        <v/>
      </c>
      <c r="G38" s="31" t="str">
        <f ca="1">IFERROR(__xludf.DUMMYFUNCTION("""COMPUTED_VALUE"""),"")</f>
        <v/>
      </c>
      <c r="H38" s="33" t="str">
        <v/>
      </c>
    </row>
    <row r="39" spans="1:9" ht="13.2">
      <c r="A39" s="30"/>
      <c r="B39" s="31"/>
      <c r="C39" s="31"/>
      <c r="D39" s="32"/>
      <c r="E39" s="31" t="str">
        <f ca="1">IFERROR(__xludf.DUMMYFUNCTION("""COMPUTED_VALUE"""),"")</f>
        <v/>
      </c>
      <c r="F39" s="31" t="str">
        <f ca="1">IFERROR(__xludf.DUMMYFUNCTION("""COMPUTED_VALUE"""),"")</f>
        <v/>
      </c>
      <c r="G39" s="31" t="str">
        <f ca="1">IFERROR(__xludf.DUMMYFUNCTION("""COMPUTED_VALUE"""),"")</f>
        <v/>
      </c>
      <c r="H39" s="33" t="str">
        <v/>
      </c>
    </row>
    <row r="40" spans="1:9" ht="13.2">
      <c r="A40" s="34"/>
      <c r="B40" s="31"/>
      <c r="C40" s="31"/>
      <c r="D40" s="32"/>
      <c r="E40" s="31" t="str">
        <f ca="1">IFERROR(__xludf.DUMMYFUNCTION("""COMPUTED_VALUE"""),"")</f>
        <v/>
      </c>
      <c r="F40" s="31" t="str">
        <f ca="1">IFERROR(__xludf.DUMMYFUNCTION("""COMPUTED_VALUE"""),"")</f>
        <v/>
      </c>
      <c r="G40" s="31" t="str">
        <f ca="1">IFERROR(__xludf.DUMMYFUNCTION("""COMPUTED_VALUE"""),"")</f>
        <v/>
      </c>
      <c r="H40" s="33" t="str">
        <v/>
      </c>
    </row>
    <row r="41" spans="1:9" ht="13.2">
      <c r="A41" s="30"/>
      <c r="B41" s="31"/>
      <c r="C41" s="31"/>
      <c r="D41" s="32"/>
      <c r="E41" s="31" t="str">
        <f ca="1">IFERROR(__xludf.DUMMYFUNCTION("""COMPUTED_VALUE"""),"")</f>
        <v/>
      </c>
      <c r="F41" s="31" t="str">
        <f ca="1">IFERROR(__xludf.DUMMYFUNCTION("""COMPUTED_VALUE"""),"")</f>
        <v/>
      </c>
      <c r="G41" s="31" t="str">
        <f ca="1">IFERROR(__xludf.DUMMYFUNCTION("""COMPUTED_VALUE"""),"")</f>
        <v/>
      </c>
      <c r="H41" s="33" t="str">
        <v/>
      </c>
    </row>
    <row r="42" spans="1:9" ht="13.2">
      <c r="A42" s="30"/>
      <c r="B42" s="31"/>
      <c r="C42" s="31"/>
      <c r="D42" s="32"/>
      <c r="E42" s="31" t="str">
        <f ca="1">IFERROR(__xludf.DUMMYFUNCTION("""COMPUTED_VALUE"""),"")</f>
        <v/>
      </c>
      <c r="F42" s="31" t="str">
        <f ca="1">IFERROR(__xludf.DUMMYFUNCTION("""COMPUTED_VALUE"""),"")</f>
        <v/>
      </c>
      <c r="G42" s="31" t="str">
        <f ca="1">IFERROR(__xludf.DUMMYFUNCTION("""COMPUTED_VALUE"""),"")</f>
        <v/>
      </c>
      <c r="H42" s="33" t="str">
        <v/>
      </c>
    </row>
    <row r="43" spans="1:9" ht="13.2">
      <c r="A43" s="34"/>
      <c r="B43" s="31"/>
      <c r="C43" s="31"/>
      <c r="D43" s="32"/>
      <c r="E43" s="31" t="str">
        <f ca="1">IFERROR(__xludf.DUMMYFUNCTION("""COMPUTED_VALUE"""),"")</f>
        <v/>
      </c>
      <c r="F43" s="31" t="str">
        <f ca="1">IFERROR(__xludf.DUMMYFUNCTION("""COMPUTED_VALUE"""),"")</f>
        <v/>
      </c>
      <c r="G43" s="31" t="str">
        <f ca="1">IFERROR(__xludf.DUMMYFUNCTION("""COMPUTED_VALUE"""),"")</f>
        <v/>
      </c>
      <c r="H43" s="33" t="str">
        <v/>
      </c>
      <c r="I43" s="26"/>
    </row>
    <row r="44" spans="1:9" ht="13.2">
      <c r="A44" s="30"/>
      <c r="B44" s="31"/>
      <c r="C44" s="31"/>
      <c r="D44" s="32"/>
      <c r="E44" s="31" t="str">
        <f ca="1">IFERROR(__xludf.DUMMYFUNCTION("""COMPUTED_VALUE"""),"")</f>
        <v/>
      </c>
      <c r="F44" s="31" t="str">
        <f ca="1">IFERROR(__xludf.DUMMYFUNCTION("""COMPUTED_VALUE"""),"")</f>
        <v/>
      </c>
      <c r="G44" s="31" t="str">
        <f ca="1">IFERROR(__xludf.DUMMYFUNCTION("""COMPUTED_VALUE"""),"")</f>
        <v/>
      </c>
      <c r="H44" s="33" t="str">
        <v/>
      </c>
    </row>
    <row r="45" spans="1:9" ht="13.2">
      <c r="A45" s="42" t="s">
        <v>291</v>
      </c>
      <c r="B45" s="38"/>
      <c r="C45" s="38"/>
      <c r="D45" s="38"/>
      <c r="E45" s="38"/>
      <c r="F45" s="38"/>
      <c r="G45" s="38"/>
      <c r="H45" s="38" t="str">
        <v/>
      </c>
      <c r="I45" s="39"/>
    </row>
    <row r="46" spans="1:9" ht="13.2">
      <c r="A46" s="30"/>
      <c r="B46" s="31"/>
      <c r="C46" s="31"/>
      <c r="D46" s="32"/>
      <c r="E46" s="31" t="str">
        <f ca="1">IFERROR(__xludf.DUMMYFUNCTION("""COMPUTED_VALUE"""),"")</f>
        <v/>
      </c>
      <c r="F46" s="31" t="str">
        <f ca="1">IFERROR(__xludf.DUMMYFUNCTION("""COMPUTED_VALUE"""),"")</f>
        <v/>
      </c>
      <c r="G46" s="31" t="str">
        <f ca="1">IFERROR(__xludf.DUMMYFUNCTION("""COMPUTED_VALUE"""),"")</f>
        <v/>
      </c>
      <c r="H46" s="33" t="str">
        <v/>
      </c>
    </row>
    <row r="47" spans="1:9" ht="13.2">
      <c r="E47" s="17" t="str">
        <f ca="1">IFERROR(__xludf.DUMMYFUNCTION("""COMPUTED_VALUE"""),"")</f>
        <v/>
      </c>
      <c r="F47" s="17" t="str">
        <f ca="1">IFERROR(__xludf.DUMMYFUNCTION("""COMPUTED_VALUE"""),"")</f>
        <v/>
      </c>
      <c r="G47" s="17" t="str">
        <f ca="1">IFERROR(__xludf.DUMMYFUNCTION("""COMPUTED_VALUE"""),"")</f>
        <v/>
      </c>
      <c r="H47" s="17" t="str">
        <v/>
      </c>
    </row>
    <row r="48" spans="1:9" ht="13.2">
      <c r="E48" s="17" t="str">
        <f ca="1">IFERROR(__xludf.DUMMYFUNCTION("""COMPUTED_VALUE"""),"")</f>
        <v/>
      </c>
      <c r="F48" s="17" t="str">
        <f ca="1">IFERROR(__xludf.DUMMYFUNCTION("""COMPUTED_VALUE"""),"")</f>
        <v/>
      </c>
      <c r="G48" s="17" t="str">
        <f ca="1">IFERROR(__xludf.DUMMYFUNCTION("""COMPUTED_VALUE"""),"")</f>
        <v/>
      </c>
      <c r="H48" s="17" t="str">
        <v/>
      </c>
    </row>
    <row r="49" spans="5:8" ht="13.2">
      <c r="E49" s="17" t="str">
        <f ca="1">IFERROR(__xludf.DUMMYFUNCTION("""COMPUTED_VALUE"""),"")</f>
        <v/>
      </c>
      <c r="F49" s="17" t="str">
        <f ca="1">IFERROR(__xludf.DUMMYFUNCTION("""COMPUTED_VALUE"""),"")</f>
        <v/>
      </c>
      <c r="G49" s="17" t="str">
        <f ca="1">IFERROR(__xludf.DUMMYFUNCTION("""COMPUTED_VALUE"""),"")</f>
        <v/>
      </c>
      <c r="H49" s="17" t="str">
        <v/>
      </c>
    </row>
    <row r="50" spans="5:8" ht="13.2">
      <c r="E50" s="17" t="str">
        <f ca="1">IFERROR(__xludf.DUMMYFUNCTION("""COMPUTED_VALUE"""),"")</f>
        <v/>
      </c>
      <c r="F50" s="17" t="str">
        <f ca="1">IFERROR(__xludf.DUMMYFUNCTION("""COMPUTED_VALUE"""),"")</f>
        <v/>
      </c>
      <c r="G50" s="17" t="str">
        <f ca="1">IFERROR(__xludf.DUMMYFUNCTION("""COMPUTED_VALUE"""),"")</f>
        <v/>
      </c>
      <c r="H50" s="17" t="str">
        <v/>
      </c>
    </row>
    <row r="51" spans="5:8" ht="13.2">
      <c r="E51" s="17" t="str">
        <f ca="1">IFERROR(__xludf.DUMMYFUNCTION("""COMPUTED_VALUE"""),"")</f>
        <v/>
      </c>
      <c r="F51" s="17" t="str">
        <f ca="1">IFERROR(__xludf.DUMMYFUNCTION("""COMPUTED_VALUE"""),"")</f>
        <v/>
      </c>
      <c r="G51" s="17" t="str">
        <f ca="1">IFERROR(__xludf.DUMMYFUNCTION("""COMPUTED_VALUE"""),"")</f>
        <v/>
      </c>
      <c r="H51" s="17" t="str">
        <v/>
      </c>
    </row>
    <row r="52" spans="5:8" ht="13.2">
      <c r="E52" s="17" t="str">
        <f ca="1">IFERROR(__xludf.DUMMYFUNCTION("""COMPUTED_VALUE"""),"")</f>
        <v/>
      </c>
      <c r="F52" s="17" t="str">
        <f ca="1">IFERROR(__xludf.DUMMYFUNCTION("""COMPUTED_VALUE"""),"")</f>
        <v/>
      </c>
      <c r="G52" s="17" t="str">
        <f ca="1">IFERROR(__xludf.DUMMYFUNCTION("""COMPUTED_VALUE"""),"")</f>
        <v/>
      </c>
      <c r="H52" s="17" t="str">
        <v/>
      </c>
    </row>
    <row r="53" spans="5:8" ht="13.2">
      <c r="E53" s="17" t="str">
        <f ca="1">IFERROR(__xludf.DUMMYFUNCTION("""COMPUTED_VALUE"""),"")</f>
        <v/>
      </c>
      <c r="F53" s="17" t="str">
        <f ca="1">IFERROR(__xludf.DUMMYFUNCTION("""COMPUTED_VALUE"""),"")</f>
        <v/>
      </c>
      <c r="G53" s="17" t="str">
        <f ca="1">IFERROR(__xludf.DUMMYFUNCTION("""COMPUTED_VALUE"""),"")</f>
        <v/>
      </c>
      <c r="H53" s="17" t="str">
        <v/>
      </c>
    </row>
    <row r="54" spans="5:8" ht="13.2">
      <c r="E54" s="17" t="str">
        <f ca="1">IFERROR(__xludf.DUMMYFUNCTION("""COMPUTED_VALUE"""),"")</f>
        <v/>
      </c>
      <c r="F54" s="17" t="str">
        <f ca="1">IFERROR(__xludf.DUMMYFUNCTION("""COMPUTED_VALUE"""),"")</f>
        <v/>
      </c>
      <c r="G54" s="17" t="str">
        <f ca="1">IFERROR(__xludf.DUMMYFUNCTION("""COMPUTED_VALUE"""),"")</f>
        <v/>
      </c>
      <c r="H54" s="17" t="str">
        <v/>
      </c>
    </row>
    <row r="55" spans="5:8" ht="13.2">
      <c r="E55" s="17" t="str">
        <f ca="1">IFERROR(__xludf.DUMMYFUNCTION("""COMPUTED_VALUE"""),"")</f>
        <v/>
      </c>
      <c r="F55" s="17" t="str">
        <f ca="1">IFERROR(__xludf.DUMMYFUNCTION("""COMPUTED_VALUE"""),"")</f>
        <v/>
      </c>
      <c r="G55" s="17" t="str">
        <f ca="1">IFERROR(__xludf.DUMMYFUNCTION("""COMPUTED_VALUE"""),"")</f>
        <v/>
      </c>
      <c r="H55" s="17" t="str">
        <v/>
      </c>
    </row>
    <row r="56" spans="5:8" ht="13.2">
      <c r="E56" s="17" t="str">
        <f ca="1">IFERROR(__xludf.DUMMYFUNCTION("""COMPUTED_VALUE"""),"")</f>
        <v/>
      </c>
      <c r="F56" s="17" t="str">
        <f ca="1">IFERROR(__xludf.DUMMYFUNCTION("""COMPUTED_VALUE"""),"")</f>
        <v/>
      </c>
      <c r="G56" s="17" t="str">
        <f ca="1">IFERROR(__xludf.DUMMYFUNCTION("""COMPUTED_VALUE"""),"")</f>
        <v/>
      </c>
      <c r="H56" s="17" t="str">
        <v/>
      </c>
    </row>
    <row r="57" spans="5:8" ht="13.2">
      <c r="E57" s="17" t="str">
        <f ca="1">IFERROR(__xludf.DUMMYFUNCTION("""COMPUTED_VALUE"""),"")</f>
        <v/>
      </c>
      <c r="F57" s="17" t="str">
        <f ca="1">IFERROR(__xludf.DUMMYFUNCTION("""COMPUTED_VALUE"""),"")</f>
        <v/>
      </c>
      <c r="G57" s="17" t="str">
        <f ca="1">IFERROR(__xludf.DUMMYFUNCTION("""COMPUTED_VALUE"""),"")</f>
        <v/>
      </c>
      <c r="H57" s="17" t="str">
        <v/>
      </c>
    </row>
    <row r="58" spans="5:8" ht="13.2">
      <c r="E58" s="17" t="str">
        <f ca="1">IFERROR(__xludf.DUMMYFUNCTION("""COMPUTED_VALUE"""),"")</f>
        <v/>
      </c>
      <c r="F58" s="17" t="str">
        <f ca="1">IFERROR(__xludf.DUMMYFUNCTION("""COMPUTED_VALUE"""),"")</f>
        <v/>
      </c>
      <c r="G58" s="17" t="str">
        <f ca="1">IFERROR(__xludf.DUMMYFUNCTION("""COMPUTED_VALUE"""),"")</f>
        <v/>
      </c>
      <c r="H58" s="17" t="str">
        <v/>
      </c>
    </row>
    <row r="59" spans="5:8" ht="13.2">
      <c r="E59" s="17" t="str">
        <f ca="1">IFERROR(__xludf.DUMMYFUNCTION("""COMPUTED_VALUE"""),"")</f>
        <v/>
      </c>
      <c r="F59" s="17" t="str">
        <f ca="1">IFERROR(__xludf.DUMMYFUNCTION("""COMPUTED_VALUE"""),"")</f>
        <v/>
      </c>
      <c r="G59" s="17" t="str">
        <f ca="1">IFERROR(__xludf.DUMMYFUNCTION("""COMPUTED_VALUE"""),"")</f>
        <v/>
      </c>
      <c r="H59" s="17" t="str">
        <v/>
      </c>
    </row>
    <row r="60" spans="5:8" ht="13.2">
      <c r="E60" s="17" t="str">
        <f ca="1">IFERROR(__xludf.DUMMYFUNCTION("""COMPUTED_VALUE"""),"")</f>
        <v/>
      </c>
      <c r="F60" s="17" t="str">
        <f ca="1">IFERROR(__xludf.DUMMYFUNCTION("""COMPUTED_VALUE"""),"")</f>
        <v/>
      </c>
      <c r="G60" s="17" t="str">
        <f ca="1">IFERROR(__xludf.DUMMYFUNCTION("""COMPUTED_VALUE"""),"")</f>
        <v/>
      </c>
      <c r="H60" s="17" t="str">
        <v/>
      </c>
    </row>
    <row r="61" spans="5:8" ht="13.2">
      <c r="E61" s="17" t="str">
        <f ca="1">IFERROR(__xludf.DUMMYFUNCTION("""COMPUTED_VALUE"""),"")</f>
        <v/>
      </c>
      <c r="F61" s="17" t="str">
        <f ca="1">IFERROR(__xludf.DUMMYFUNCTION("""COMPUTED_VALUE"""),"")</f>
        <v/>
      </c>
      <c r="G61" s="17" t="str">
        <f ca="1">IFERROR(__xludf.DUMMYFUNCTION("""COMPUTED_VALUE"""),"")</f>
        <v/>
      </c>
      <c r="H61" s="17" t="str">
        <v/>
      </c>
    </row>
    <row r="62" spans="5:8" ht="13.2">
      <c r="E62" s="17" t="str">
        <f ca="1">IFERROR(__xludf.DUMMYFUNCTION("""COMPUTED_VALUE"""),"")</f>
        <v/>
      </c>
      <c r="F62" s="17" t="str">
        <f ca="1">IFERROR(__xludf.DUMMYFUNCTION("""COMPUTED_VALUE"""),"")</f>
        <v/>
      </c>
      <c r="G62" s="17" t="str">
        <f ca="1">IFERROR(__xludf.DUMMYFUNCTION("""COMPUTED_VALUE"""),"")</f>
        <v/>
      </c>
      <c r="H62" s="17" t="str">
        <v/>
      </c>
    </row>
    <row r="63" spans="5:8" ht="13.2">
      <c r="E63" s="17" t="str">
        <f ca="1">IFERROR(__xludf.DUMMYFUNCTION("""COMPUTED_VALUE"""),"")</f>
        <v/>
      </c>
      <c r="F63" s="17" t="str">
        <f ca="1">IFERROR(__xludf.DUMMYFUNCTION("""COMPUTED_VALUE"""),"")</f>
        <v/>
      </c>
      <c r="G63" s="17" t="str">
        <f ca="1">IFERROR(__xludf.DUMMYFUNCTION("""COMPUTED_VALUE"""),"")</f>
        <v/>
      </c>
      <c r="H63" s="17" t="str">
        <v/>
      </c>
    </row>
    <row r="64" spans="5:8" ht="13.2">
      <c r="E64" s="17" t="str">
        <f ca="1">IFERROR(__xludf.DUMMYFUNCTION("""COMPUTED_VALUE"""),"")</f>
        <v/>
      </c>
      <c r="F64" s="17" t="str">
        <f ca="1">IFERROR(__xludf.DUMMYFUNCTION("""COMPUTED_VALUE"""),"")</f>
        <v/>
      </c>
      <c r="G64" s="17" t="str">
        <f ca="1">IFERROR(__xludf.DUMMYFUNCTION("""COMPUTED_VALUE"""),"")</f>
        <v/>
      </c>
      <c r="H64" s="17" t="str">
        <v/>
      </c>
    </row>
    <row r="65" spans="5:8" ht="13.2">
      <c r="E65" s="17" t="str">
        <f ca="1">IFERROR(__xludf.DUMMYFUNCTION("""COMPUTED_VALUE"""),"")</f>
        <v/>
      </c>
      <c r="F65" s="17" t="str">
        <f ca="1">IFERROR(__xludf.DUMMYFUNCTION("""COMPUTED_VALUE"""),"")</f>
        <v/>
      </c>
      <c r="G65" s="17" t="str">
        <f ca="1">IFERROR(__xludf.DUMMYFUNCTION("""COMPUTED_VALUE"""),"")</f>
        <v/>
      </c>
      <c r="H65" s="17" t="str">
        <v/>
      </c>
    </row>
    <row r="66" spans="5:8" ht="13.2">
      <c r="E66" s="17" t="str">
        <f ca="1">IFERROR(__xludf.DUMMYFUNCTION("""COMPUTED_VALUE"""),"")</f>
        <v/>
      </c>
      <c r="F66" s="17" t="str">
        <f ca="1">IFERROR(__xludf.DUMMYFUNCTION("""COMPUTED_VALUE"""),"")</f>
        <v/>
      </c>
      <c r="G66" s="17" t="str">
        <f ca="1">IFERROR(__xludf.DUMMYFUNCTION("""COMPUTED_VALUE"""),"")</f>
        <v/>
      </c>
      <c r="H66" s="17" t="str">
        <v/>
      </c>
    </row>
    <row r="67" spans="5:8" ht="13.2">
      <c r="E67" s="17" t="str">
        <f ca="1">IFERROR(__xludf.DUMMYFUNCTION("""COMPUTED_VALUE"""),"")</f>
        <v/>
      </c>
      <c r="F67" s="17" t="str">
        <f ca="1">IFERROR(__xludf.DUMMYFUNCTION("""COMPUTED_VALUE"""),"")</f>
        <v/>
      </c>
      <c r="G67" s="17" t="str">
        <f ca="1">IFERROR(__xludf.DUMMYFUNCTION("""COMPUTED_VALUE"""),"")</f>
        <v/>
      </c>
      <c r="H67" s="17" t="str">
        <v/>
      </c>
    </row>
    <row r="68" spans="5:8" ht="13.2">
      <c r="E68" s="17" t="str">
        <f ca="1">IFERROR(__xludf.DUMMYFUNCTION("""COMPUTED_VALUE"""),"")</f>
        <v/>
      </c>
      <c r="F68" s="17" t="str">
        <f ca="1">IFERROR(__xludf.DUMMYFUNCTION("""COMPUTED_VALUE"""),"")</f>
        <v/>
      </c>
      <c r="G68" s="17" t="str">
        <f ca="1">IFERROR(__xludf.DUMMYFUNCTION("""COMPUTED_VALUE"""),"")</f>
        <v/>
      </c>
      <c r="H68" s="17" t="str">
        <v/>
      </c>
    </row>
    <row r="69" spans="5:8" ht="13.2">
      <c r="E69" s="17" t="str">
        <f ca="1">IFERROR(__xludf.DUMMYFUNCTION("""COMPUTED_VALUE"""),"")</f>
        <v/>
      </c>
      <c r="F69" s="17" t="str">
        <f ca="1">IFERROR(__xludf.DUMMYFUNCTION("""COMPUTED_VALUE"""),"")</f>
        <v/>
      </c>
      <c r="G69" s="17" t="str">
        <f ca="1">IFERROR(__xludf.DUMMYFUNCTION("""COMPUTED_VALUE"""),"")</f>
        <v/>
      </c>
      <c r="H69" s="17" t="str">
        <v/>
      </c>
    </row>
    <row r="70" spans="5:8" ht="13.2">
      <c r="E70" s="17" t="str">
        <f ca="1">IFERROR(__xludf.DUMMYFUNCTION("""COMPUTED_VALUE"""),"")</f>
        <v/>
      </c>
      <c r="F70" s="17" t="str">
        <f ca="1">IFERROR(__xludf.DUMMYFUNCTION("""COMPUTED_VALUE"""),"")</f>
        <v/>
      </c>
      <c r="G70" s="17" t="str">
        <f ca="1">IFERROR(__xludf.DUMMYFUNCTION("""COMPUTED_VALUE"""),"")</f>
        <v/>
      </c>
      <c r="H70" s="17" t="str">
        <v/>
      </c>
    </row>
    <row r="71" spans="5:8" ht="13.2">
      <c r="E71" s="17" t="str">
        <f ca="1">IFERROR(__xludf.DUMMYFUNCTION("""COMPUTED_VALUE"""),"")</f>
        <v/>
      </c>
      <c r="F71" s="17" t="str">
        <f ca="1">IFERROR(__xludf.DUMMYFUNCTION("""COMPUTED_VALUE"""),"")</f>
        <v/>
      </c>
      <c r="G71" s="17" t="str">
        <f ca="1">IFERROR(__xludf.DUMMYFUNCTION("""COMPUTED_VALUE"""),"")</f>
        <v/>
      </c>
      <c r="H71" s="17" t="str">
        <v/>
      </c>
    </row>
    <row r="72" spans="5:8" ht="13.2">
      <c r="E72" s="17" t="str">
        <f ca="1">IFERROR(__xludf.DUMMYFUNCTION("""COMPUTED_VALUE"""),"")</f>
        <v/>
      </c>
      <c r="F72" s="17" t="str">
        <f ca="1">IFERROR(__xludf.DUMMYFUNCTION("""COMPUTED_VALUE"""),"")</f>
        <v/>
      </c>
      <c r="G72" s="17" t="str">
        <f ca="1">IFERROR(__xludf.DUMMYFUNCTION("""COMPUTED_VALUE"""),"")</f>
        <v/>
      </c>
      <c r="H72" s="17" t="str">
        <v/>
      </c>
    </row>
    <row r="73" spans="5:8" ht="13.2">
      <c r="E73" s="17" t="str">
        <f ca="1">IFERROR(__xludf.DUMMYFUNCTION("""COMPUTED_VALUE"""),"")</f>
        <v/>
      </c>
      <c r="F73" s="17" t="str">
        <f ca="1">IFERROR(__xludf.DUMMYFUNCTION("""COMPUTED_VALUE"""),"")</f>
        <v/>
      </c>
      <c r="G73" s="17" t="str">
        <f ca="1">IFERROR(__xludf.DUMMYFUNCTION("""COMPUTED_VALUE"""),"")</f>
        <v/>
      </c>
      <c r="H73" s="17" t="str">
        <v/>
      </c>
    </row>
    <row r="74" spans="5:8" ht="13.2">
      <c r="E74" s="17" t="str">
        <f ca="1">IFERROR(__xludf.DUMMYFUNCTION("""COMPUTED_VALUE"""),"")</f>
        <v/>
      </c>
      <c r="F74" s="17" t="str">
        <f ca="1">IFERROR(__xludf.DUMMYFUNCTION("""COMPUTED_VALUE"""),"")</f>
        <v/>
      </c>
      <c r="G74" s="17" t="str">
        <f ca="1">IFERROR(__xludf.DUMMYFUNCTION("""COMPUTED_VALUE"""),"")</f>
        <v/>
      </c>
      <c r="H74" s="17" t="str">
        <v/>
      </c>
    </row>
    <row r="75" spans="5:8" ht="13.2">
      <c r="E75" s="17" t="str">
        <f ca="1">IFERROR(__xludf.DUMMYFUNCTION("""COMPUTED_VALUE"""),"")</f>
        <v/>
      </c>
      <c r="F75" s="17" t="str">
        <f ca="1">IFERROR(__xludf.DUMMYFUNCTION("""COMPUTED_VALUE"""),"")</f>
        <v/>
      </c>
      <c r="G75" s="17" t="str">
        <f ca="1">IFERROR(__xludf.DUMMYFUNCTION("""COMPUTED_VALUE"""),"")</f>
        <v/>
      </c>
      <c r="H75" s="17" t="str">
        <v/>
      </c>
    </row>
    <row r="76" spans="5:8" ht="13.2">
      <c r="E76" s="17" t="str">
        <f ca="1">IFERROR(__xludf.DUMMYFUNCTION("""COMPUTED_VALUE"""),"")</f>
        <v/>
      </c>
      <c r="F76" s="17" t="str">
        <f ca="1">IFERROR(__xludf.DUMMYFUNCTION("""COMPUTED_VALUE"""),"")</f>
        <v/>
      </c>
      <c r="G76" s="17" t="str">
        <f ca="1">IFERROR(__xludf.DUMMYFUNCTION("""COMPUTED_VALUE"""),"")</f>
        <v/>
      </c>
      <c r="H76" s="17" t="str">
        <v/>
      </c>
    </row>
    <row r="77" spans="5:8" ht="13.2">
      <c r="E77" s="17" t="str">
        <f ca="1">IFERROR(__xludf.DUMMYFUNCTION("""COMPUTED_VALUE"""),"")</f>
        <v/>
      </c>
      <c r="F77" s="17" t="str">
        <f ca="1">IFERROR(__xludf.DUMMYFUNCTION("""COMPUTED_VALUE"""),"")</f>
        <v/>
      </c>
      <c r="G77" s="17" t="str">
        <f ca="1">IFERROR(__xludf.DUMMYFUNCTION("""COMPUTED_VALUE"""),"")</f>
        <v/>
      </c>
      <c r="H77" s="17" t="str">
        <v/>
      </c>
    </row>
    <row r="78" spans="5:8" ht="13.2">
      <c r="E78" s="17" t="str">
        <f ca="1">IFERROR(__xludf.DUMMYFUNCTION("""COMPUTED_VALUE"""),"")</f>
        <v/>
      </c>
      <c r="F78" s="17" t="str">
        <f ca="1">IFERROR(__xludf.DUMMYFUNCTION("""COMPUTED_VALUE"""),"")</f>
        <v/>
      </c>
      <c r="G78" s="17" t="str">
        <f ca="1">IFERROR(__xludf.DUMMYFUNCTION("""COMPUTED_VALUE"""),"")</f>
        <v/>
      </c>
      <c r="H78" s="17" t="str">
        <v/>
      </c>
    </row>
    <row r="79" spans="5:8" ht="13.2">
      <c r="E79" s="17" t="str">
        <f ca="1">IFERROR(__xludf.DUMMYFUNCTION("""COMPUTED_VALUE"""),"")</f>
        <v/>
      </c>
      <c r="F79" s="17" t="str">
        <f ca="1">IFERROR(__xludf.DUMMYFUNCTION("""COMPUTED_VALUE"""),"")</f>
        <v/>
      </c>
      <c r="G79" s="17" t="str">
        <f ca="1">IFERROR(__xludf.DUMMYFUNCTION("""COMPUTED_VALUE"""),"")</f>
        <v/>
      </c>
      <c r="H79" s="17" t="str">
        <v/>
      </c>
    </row>
    <row r="80" spans="5:8" ht="13.2">
      <c r="E80" s="17" t="str">
        <f ca="1">IFERROR(__xludf.DUMMYFUNCTION("""COMPUTED_VALUE"""),"")</f>
        <v/>
      </c>
      <c r="F80" s="17" t="str">
        <f ca="1">IFERROR(__xludf.DUMMYFUNCTION("""COMPUTED_VALUE"""),"")</f>
        <v/>
      </c>
      <c r="G80" s="17" t="str">
        <f ca="1">IFERROR(__xludf.DUMMYFUNCTION("""COMPUTED_VALUE"""),"")</f>
        <v/>
      </c>
      <c r="H80" s="17" t="str">
        <v/>
      </c>
    </row>
    <row r="81" spans="5:8" ht="13.2">
      <c r="E81" s="17" t="str">
        <f ca="1">IFERROR(__xludf.DUMMYFUNCTION("""COMPUTED_VALUE"""),"")</f>
        <v/>
      </c>
      <c r="F81" s="17" t="str">
        <f ca="1">IFERROR(__xludf.DUMMYFUNCTION("""COMPUTED_VALUE"""),"")</f>
        <v/>
      </c>
      <c r="G81" s="17" t="str">
        <f ca="1">IFERROR(__xludf.DUMMYFUNCTION("""COMPUTED_VALUE"""),"")</f>
        <v/>
      </c>
      <c r="H81" s="17" t="str">
        <v/>
      </c>
    </row>
    <row r="82" spans="5:8" ht="13.2">
      <c r="E82" s="17" t="str">
        <f ca="1">IFERROR(__xludf.DUMMYFUNCTION("""COMPUTED_VALUE"""),"")</f>
        <v/>
      </c>
      <c r="F82" s="17" t="str">
        <f ca="1">IFERROR(__xludf.DUMMYFUNCTION("""COMPUTED_VALUE"""),"")</f>
        <v/>
      </c>
      <c r="G82" s="17" t="str">
        <f ca="1">IFERROR(__xludf.DUMMYFUNCTION("""COMPUTED_VALUE"""),"")</f>
        <v/>
      </c>
      <c r="H82" s="17" t="str">
        <v/>
      </c>
    </row>
    <row r="83" spans="5:8" ht="13.2">
      <c r="E83" s="17" t="str">
        <f ca="1">IFERROR(__xludf.DUMMYFUNCTION("""COMPUTED_VALUE"""),"")</f>
        <v/>
      </c>
      <c r="F83" s="17" t="str">
        <f ca="1">IFERROR(__xludf.DUMMYFUNCTION("""COMPUTED_VALUE"""),"")</f>
        <v/>
      </c>
      <c r="G83" s="17" t="str">
        <f ca="1">IFERROR(__xludf.DUMMYFUNCTION("""COMPUTED_VALUE"""),"")</f>
        <v/>
      </c>
      <c r="H83" s="17" t="str">
        <v/>
      </c>
    </row>
    <row r="84" spans="5:8" ht="13.2">
      <c r="E84" s="17" t="str">
        <f ca="1">IFERROR(__xludf.DUMMYFUNCTION("""COMPUTED_VALUE"""),"")</f>
        <v/>
      </c>
      <c r="F84" s="17" t="str">
        <f ca="1">IFERROR(__xludf.DUMMYFUNCTION("""COMPUTED_VALUE"""),"")</f>
        <v/>
      </c>
      <c r="G84" s="17" t="str">
        <f ca="1">IFERROR(__xludf.DUMMYFUNCTION("""COMPUTED_VALUE"""),"")</f>
        <v/>
      </c>
      <c r="H84" s="17" t="str">
        <v/>
      </c>
    </row>
    <row r="85" spans="5:8" ht="13.2">
      <c r="E85" s="17" t="str">
        <f ca="1">IFERROR(__xludf.DUMMYFUNCTION("""COMPUTED_VALUE"""),"")</f>
        <v/>
      </c>
      <c r="F85" s="17" t="str">
        <f ca="1">IFERROR(__xludf.DUMMYFUNCTION("""COMPUTED_VALUE"""),"")</f>
        <v/>
      </c>
      <c r="G85" s="17" t="str">
        <f ca="1">IFERROR(__xludf.DUMMYFUNCTION("""COMPUTED_VALUE"""),"")</f>
        <v/>
      </c>
      <c r="H85" s="17" t="str">
        <v/>
      </c>
    </row>
    <row r="86" spans="5:8" ht="13.2">
      <c r="E86" s="17" t="str">
        <f ca="1">IFERROR(__xludf.DUMMYFUNCTION("""COMPUTED_VALUE"""),"")</f>
        <v/>
      </c>
      <c r="F86" s="17" t="str">
        <f ca="1">IFERROR(__xludf.DUMMYFUNCTION("""COMPUTED_VALUE"""),"")</f>
        <v/>
      </c>
      <c r="G86" s="17" t="str">
        <f ca="1">IFERROR(__xludf.DUMMYFUNCTION("""COMPUTED_VALUE"""),"")</f>
        <v/>
      </c>
      <c r="H86" s="17" t="str">
        <v/>
      </c>
    </row>
    <row r="87" spans="5:8" ht="13.2">
      <c r="E87" s="17" t="str">
        <f ca="1">IFERROR(__xludf.DUMMYFUNCTION("""COMPUTED_VALUE"""),"")</f>
        <v/>
      </c>
      <c r="F87" s="17" t="str">
        <f ca="1">IFERROR(__xludf.DUMMYFUNCTION("""COMPUTED_VALUE"""),"")</f>
        <v/>
      </c>
      <c r="G87" s="17" t="str">
        <f ca="1">IFERROR(__xludf.DUMMYFUNCTION("""COMPUTED_VALUE"""),"")</f>
        <v/>
      </c>
      <c r="H87" s="17" t="str">
        <v/>
      </c>
    </row>
    <row r="88" spans="5:8" ht="13.2">
      <c r="E88" s="17" t="str">
        <f ca="1">IFERROR(__xludf.DUMMYFUNCTION("""COMPUTED_VALUE"""),"")</f>
        <v/>
      </c>
      <c r="F88" s="17" t="str">
        <f ca="1">IFERROR(__xludf.DUMMYFUNCTION("""COMPUTED_VALUE"""),"")</f>
        <v/>
      </c>
      <c r="G88" s="17" t="str">
        <f ca="1">IFERROR(__xludf.DUMMYFUNCTION("""COMPUTED_VALUE"""),"")</f>
        <v/>
      </c>
      <c r="H88" s="17" t="str">
        <v/>
      </c>
    </row>
    <row r="89" spans="5:8" ht="13.2">
      <c r="E89" s="17" t="str">
        <f ca="1">IFERROR(__xludf.DUMMYFUNCTION("""COMPUTED_VALUE"""),"")</f>
        <v/>
      </c>
      <c r="F89" s="17" t="str">
        <f ca="1">IFERROR(__xludf.DUMMYFUNCTION("""COMPUTED_VALUE"""),"")</f>
        <v/>
      </c>
      <c r="G89" s="17" t="str">
        <f ca="1">IFERROR(__xludf.DUMMYFUNCTION("""COMPUTED_VALUE"""),"")</f>
        <v/>
      </c>
      <c r="H89" s="17" t="str">
        <v/>
      </c>
    </row>
    <row r="90" spans="5:8" ht="13.2">
      <c r="E90" s="17" t="str">
        <f ca="1">IFERROR(__xludf.DUMMYFUNCTION("""COMPUTED_VALUE"""),"")</f>
        <v/>
      </c>
      <c r="F90" s="17" t="str">
        <f ca="1">IFERROR(__xludf.DUMMYFUNCTION("""COMPUTED_VALUE"""),"")</f>
        <v/>
      </c>
      <c r="G90" s="17" t="str">
        <f ca="1">IFERROR(__xludf.DUMMYFUNCTION("""COMPUTED_VALUE"""),"")</f>
        <v/>
      </c>
      <c r="H90" s="17" t="str">
        <v/>
      </c>
    </row>
    <row r="91" spans="5:8" ht="13.2">
      <c r="E91" s="17" t="str">
        <f ca="1">IFERROR(__xludf.DUMMYFUNCTION("""COMPUTED_VALUE"""),"")</f>
        <v/>
      </c>
      <c r="F91" s="17" t="str">
        <f ca="1">IFERROR(__xludf.DUMMYFUNCTION("""COMPUTED_VALUE"""),"")</f>
        <v/>
      </c>
      <c r="G91" s="17" t="str">
        <f ca="1">IFERROR(__xludf.DUMMYFUNCTION("""COMPUTED_VALUE"""),"")</f>
        <v/>
      </c>
      <c r="H91" s="17" t="str">
        <v/>
      </c>
    </row>
    <row r="92" spans="5:8" ht="13.2">
      <c r="E92" s="17" t="str">
        <f ca="1">IFERROR(__xludf.DUMMYFUNCTION("""COMPUTED_VALUE"""),"")</f>
        <v/>
      </c>
      <c r="F92" s="17" t="str">
        <f ca="1">IFERROR(__xludf.DUMMYFUNCTION("""COMPUTED_VALUE"""),"")</f>
        <v/>
      </c>
      <c r="G92" s="17" t="str">
        <f ca="1">IFERROR(__xludf.DUMMYFUNCTION("""COMPUTED_VALUE"""),"")</f>
        <v/>
      </c>
      <c r="H92" s="17" t="str">
        <v/>
      </c>
    </row>
    <row r="93" spans="5:8" ht="13.2">
      <c r="E93" s="17" t="str">
        <f ca="1">IFERROR(__xludf.DUMMYFUNCTION("""COMPUTED_VALUE"""),"")</f>
        <v/>
      </c>
      <c r="F93" s="17" t="str">
        <f ca="1">IFERROR(__xludf.DUMMYFUNCTION("""COMPUTED_VALUE"""),"")</f>
        <v/>
      </c>
      <c r="G93" s="17" t="str">
        <f ca="1">IFERROR(__xludf.DUMMYFUNCTION("""COMPUTED_VALUE"""),"")</f>
        <v/>
      </c>
      <c r="H93" s="17" t="str">
        <v/>
      </c>
    </row>
    <row r="94" spans="5:8" ht="13.2">
      <c r="E94" s="17" t="str">
        <f ca="1">IFERROR(__xludf.DUMMYFUNCTION("""COMPUTED_VALUE"""),"")</f>
        <v/>
      </c>
      <c r="F94" s="17" t="str">
        <f ca="1">IFERROR(__xludf.DUMMYFUNCTION("""COMPUTED_VALUE"""),"")</f>
        <v/>
      </c>
      <c r="G94" s="17" t="str">
        <f ca="1">IFERROR(__xludf.DUMMYFUNCTION("""COMPUTED_VALUE"""),"")</f>
        <v/>
      </c>
      <c r="H94" s="17" t="str">
        <v/>
      </c>
    </row>
    <row r="95" spans="5:8" ht="13.2">
      <c r="E95" s="17" t="str">
        <f ca="1">IFERROR(__xludf.DUMMYFUNCTION("""COMPUTED_VALUE"""),"")</f>
        <v/>
      </c>
      <c r="F95" s="17" t="str">
        <f ca="1">IFERROR(__xludf.DUMMYFUNCTION("""COMPUTED_VALUE"""),"")</f>
        <v/>
      </c>
      <c r="G95" s="17" t="str">
        <f ca="1">IFERROR(__xludf.DUMMYFUNCTION("""COMPUTED_VALUE"""),"")</f>
        <v/>
      </c>
      <c r="H95" s="17" t="str">
        <v/>
      </c>
    </row>
    <row r="96" spans="5:8" ht="13.2">
      <c r="E96" s="17" t="str">
        <f ca="1">IFERROR(__xludf.DUMMYFUNCTION("""COMPUTED_VALUE"""),"")</f>
        <v/>
      </c>
      <c r="F96" s="17" t="str">
        <f ca="1">IFERROR(__xludf.DUMMYFUNCTION("""COMPUTED_VALUE"""),"")</f>
        <v/>
      </c>
      <c r="G96" s="17" t="str">
        <f ca="1">IFERROR(__xludf.DUMMYFUNCTION("""COMPUTED_VALUE"""),"")</f>
        <v/>
      </c>
      <c r="H96" s="17" t="str">
        <v/>
      </c>
    </row>
    <row r="97" spans="5:8" ht="13.2">
      <c r="E97" s="17" t="str">
        <f ca="1">IFERROR(__xludf.DUMMYFUNCTION("""COMPUTED_VALUE"""),"")</f>
        <v/>
      </c>
      <c r="F97" s="17" t="str">
        <f ca="1">IFERROR(__xludf.DUMMYFUNCTION("""COMPUTED_VALUE"""),"")</f>
        <v/>
      </c>
      <c r="G97" s="17" t="str">
        <f ca="1">IFERROR(__xludf.DUMMYFUNCTION("""COMPUTED_VALUE"""),"")</f>
        <v/>
      </c>
      <c r="H97" s="17" t="str">
        <v/>
      </c>
    </row>
    <row r="98" spans="5:8" ht="13.2">
      <c r="E98" s="17" t="str">
        <f ca="1">IFERROR(__xludf.DUMMYFUNCTION("""COMPUTED_VALUE"""),"")</f>
        <v/>
      </c>
      <c r="F98" s="17" t="str">
        <f ca="1">IFERROR(__xludf.DUMMYFUNCTION("""COMPUTED_VALUE"""),"")</f>
        <v/>
      </c>
      <c r="G98" s="17" t="str">
        <f ca="1">IFERROR(__xludf.DUMMYFUNCTION("""COMPUTED_VALUE"""),"")</f>
        <v/>
      </c>
      <c r="H98" s="17" t="str">
        <v/>
      </c>
    </row>
    <row r="99" spans="5:8" ht="13.2">
      <c r="E99" s="17" t="str">
        <f ca="1">IFERROR(__xludf.DUMMYFUNCTION("""COMPUTED_VALUE"""),"")</f>
        <v/>
      </c>
      <c r="F99" s="17" t="str">
        <f ca="1">IFERROR(__xludf.DUMMYFUNCTION("""COMPUTED_VALUE"""),"")</f>
        <v/>
      </c>
      <c r="G99" s="17" t="str">
        <f ca="1">IFERROR(__xludf.DUMMYFUNCTION("""COMPUTED_VALUE"""),"")</f>
        <v/>
      </c>
      <c r="H99" s="17" t="str">
        <v/>
      </c>
    </row>
    <row r="100" spans="5:8" ht="13.2">
      <c r="E100" s="17" t="str">
        <f ca="1">IFERROR(__xludf.DUMMYFUNCTION("""COMPUTED_VALUE"""),"")</f>
        <v/>
      </c>
      <c r="F100" s="17" t="str">
        <f ca="1">IFERROR(__xludf.DUMMYFUNCTION("""COMPUTED_VALUE"""),"")</f>
        <v/>
      </c>
      <c r="G100" s="17" t="str">
        <f ca="1">IFERROR(__xludf.DUMMYFUNCTION("""COMPUTED_VALUE"""),"")</f>
        <v/>
      </c>
      <c r="H100" s="17" t="str">
        <v/>
      </c>
    </row>
    <row r="101" spans="5:8" ht="13.2">
      <c r="E101" s="17" t="str">
        <f ca="1">IFERROR(__xludf.DUMMYFUNCTION("""COMPUTED_VALUE"""),"")</f>
        <v/>
      </c>
      <c r="F101" s="17" t="str">
        <f ca="1">IFERROR(__xludf.DUMMYFUNCTION("""COMPUTED_VALUE"""),"")</f>
        <v/>
      </c>
      <c r="G101" s="17" t="str">
        <f ca="1">IFERROR(__xludf.DUMMYFUNCTION("""COMPUTED_VALUE"""),"")</f>
        <v/>
      </c>
      <c r="H101" s="17" t="str">
        <v/>
      </c>
    </row>
    <row r="102" spans="5:8" ht="13.2">
      <c r="E102" s="17" t="str">
        <f ca="1">IFERROR(__xludf.DUMMYFUNCTION("""COMPUTED_VALUE"""),"")</f>
        <v/>
      </c>
      <c r="F102" s="17" t="str">
        <f ca="1">IFERROR(__xludf.DUMMYFUNCTION("""COMPUTED_VALUE"""),"")</f>
        <v/>
      </c>
      <c r="G102" s="17" t="str">
        <f ca="1">IFERROR(__xludf.DUMMYFUNCTION("""COMPUTED_VALUE"""),"")</f>
        <v/>
      </c>
      <c r="H102" s="17" t="str">
        <v/>
      </c>
    </row>
    <row r="103" spans="5:8" ht="13.2">
      <c r="E103" s="17" t="str">
        <f ca="1">IFERROR(__xludf.DUMMYFUNCTION("""COMPUTED_VALUE"""),"")</f>
        <v/>
      </c>
      <c r="F103" s="17" t="str">
        <f ca="1">IFERROR(__xludf.DUMMYFUNCTION("""COMPUTED_VALUE"""),"")</f>
        <v/>
      </c>
      <c r="G103" s="17" t="str">
        <f ca="1">IFERROR(__xludf.DUMMYFUNCTION("""COMPUTED_VALUE"""),"")</f>
        <v/>
      </c>
      <c r="H103" s="17" t="str">
        <v/>
      </c>
    </row>
    <row r="104" spans="5:8" ht="13.2">
      <c r="E104" s="17" t="str">
        <f ca="1">IFERROR(__xludf.DUMMYFUNCTION("""COMPUTED_VALUE"""),"")</f>
        <v/>
      </c>
      <c r="F104" s="17" t="str">
        <f ca="1">IFERROR(__xludf.DUMMYFUNCTION("""COMPUTED_VALUE"""),"")</f>
        <v/>
      </c>
      <c r="G104" s="17" t="str">
        <f ca="1">IFERROR(__xludf.DUMMYFUNCTION("""COMPUTED_VALUE"""),"")</f>
        <v/>
      </c>
      <c r="H104" s="17" t="str">
        <v/>
      </c>
    </row>
    <row r="105" spans="5:8" ht="13.2">
      <c r="E105" s="17" t="str">
        <f ca="1">IFERROR(__xludf.DUMMYFUNCTION("""COMPUTED_VALUE"""),"")</f>
        <v/>
      </c>
      <c r="F105" s="17" t="str">
        <f ca="1">IFERROR(__xludf.DUMMYFUNCTION("""COMPUTED_VALUE"""),"")</f>
        <v/>
      </c>
      <c r="G105" s="17" t="str">
        <f ca="1">IFERROR(__xludf.DUMMYFUNCTION("""COMPUTED_VALUE"""),"")</f>
        <v/>
      </c>
      <c r="H105" s="17" t="str">
        <v/>
      </c>
    </row>
    <row r="106" spans="5:8" ht="13.2">
      <c r="E106" s="17" t="str">
        <f ca="1">IFERROR(__xludf.DUMMYFUNCTION("""COMPUTED_VALUE"""),"")</f>
        <v/>
      </c>
      <c r="F106" s="17" t="str">
        <f ca="1">IFERROR(__xludf.DUMMYFUNCTION("""COMPUTED_VALUE"""),"")</f>
        <v/>
      </c>
      <c r="G106" s="17" t="str">
        <f ca="1">IFERROR(__xludf.DUMMYFUNCTION("""COMPUTED_VALUE"""),"")</f>
        <v/>
      </c>
      <c r="H106" s="17" t="str">
        <v/>
      </c>
    </row>
    <row r="107" spans="5:8" ht="13.2">
      <c r="E107" s="17" t="str">
        <f ca="1">IFERROR(__xludf.DUMMYFUNCTION("""COMPUTED_VALUE"""),"")</f>
        <v/>
      </c>
      <c r="F107" s="17" t="str">
        <f ca="1">IFERROR(__xludf.DUMMYFUNCTION("""COMPUTED_VALUE"""),"")</f>
        <v/>
      </c>
      <c r="G107" s="17" t="str">
        <f ca="1">IFERROR(__xludf.DUMMYFUNCTION("""COMPUTED_VALUE"""),"")</f>
        <v/>
      </c>
      <c r="H107" s="17" t="str">
        <v/>
      </c>
    </row>
    <row r="108" spans="5:8" ht="13.2">
      <c r="E108" s="17" t="str">
        <f ca="1">IFERROR(__xludf.DUMMYFUNCTION("""COMPUTED_VALUE"""),"")</f>
        <v/>
      </c>
      <c r="F108" s="17" t="str">
        <f ca="1">IFERROR(__xludf.DUMMYFUNCTION("""COMPUTED_VALUE"""),"")</f>
        <v/>
      </c>
      <c r="G108" s="17" t="str">
        <f ca="1">IFERROR(__xludf.DUMMYFUNCTION("""COMPUTED_VALUE"""),"")</f>
        <v/>
      </c>
      <c r="H108" s="17" t="str">
        <v/>
      </c>
    </row>
    <row r="109" spans="5:8" ht="13.2">
      <c r="E109" s="17" t="str">
        <f ca="1">IFERROR(__xludf.DUMMYFUNCTION("""COMPUTED_VALUE"""),"")</f>
        <v/>
      </c>
      <c r="F109" s="17" t="str">
        <f ca="1">IFERROR(__xludf.DUMMYFUNCTION("""COMPUTED_VALUE"""),"")</f>
        <v/>
      </c>
      <c r="G109" s="17" t="str">
        <f ca="1">IFERROR(__xludf.DUMMYFUNCTION("""COMPUTED_VALUE"""),"")</f>
        <v/>
      </c>
      <c r="H109" s="17" t="str">
        <v/>
      </c>
    </row>
    <row r="110" spans="5:8" ht="13.2">
      <c r="E110" s="17" t="str">
        <f ca="1">IFERROR(__xludf.DUMMYFUNCTION("""COMPUTED_VALUE"""),"")</f>
        <v/>
      </c>
      <c r="F110" s="17" t="str">
        <f ca="1">IFERROR(__xludf.DUMMYFUNCTION("""COMPUTED_VALUE"""),"")</f>
        <v/>
      </c>
      <c r="G110" s="17" t="str">
        <f ca="1">IFERROR(__xludf.DUMMYFUNCTION("""COMPUTED_VALUE"""),"")</f>
        <v/>
      </c>
      <c r="H110" s="17" t="str">
        <v/>
      </c>
    </row>
    <row r="111" spans="5:8" ht="13.2">
      <c r="E111" s="17" t="str">
        <f ca="1">IFERROR(__xludf.DUMMYFUNCTION("""COMPUTED_VALUE"""),"")</f>
        <v/>
      </c>
      <c r="F111" s="17" t="str">
        <f ca="1">IFERROR(__xludf.DUMMYFUNCTION("""COMPUTED_VALUE"""),"")</f>
        <v/>
      </c>
      <c r="G111" s="17" t="str">
        <f ca="1">IFERROR(__xludf.DUMMYFUNCTION("""COMPUTED_VALUE"""),"")</f>
        <v/>
      </c>
      <c r="H111" s="17" t="str">
        <v/>
      </c>
    </row>
    <row r="112" spans="5:8" ht="13.2">
      <c r="E112" s="17" t="str">
        <f ca="1">IFERROR(__xludf.DUMMYFUNCTION("""COMPUTED_VALUE"""),"")</f>
        <v/>
      </c>
      <c r="F112" s="17" t="str">
        <f ca="1">IFERROR(__xludf.DUMMYFUNCTION("""COMPUTED_VALUE"""),"")</f>
        <v/>
      </c>
      <c r="G112" s="17" t="str">
        <f ca="1">IFERROR(__xludf.DUMMYFUNCTION("""COMPUTED_VALUE"""),"")</f>
        <v/>
      </c>
      <c r="H112" s="17" t="str">
        <v/>
      </c>
    </row>
    <row r="113" spans="5:8" ht="13.2">
      <c r="E113" s="17" t="str">
        <f ca="1">IFERROR(__xludf.DUMMYFUNCTION("""COMPUTED_VALUE"""),"")</f>
        <v/>
      </c>
      <c r="F113" s="17" t="str">
        <f ca="1">IFERROR(__xludf.DUMMYFUNCTION("""COMPUTED_VALUE"""),"")</f>
        <v/>
      </c>
      <c r="G113" s="17" t="str">
        <f ca="1">IFERROR(__xludf.DUMMYFUNCTION("""COMPUTED_VALUE"""),"")</f>
        <v/>
      </c>
      <c r="H113" s="17" t="str">
        <v/>
      </c>
    </row>
    <row r="114" spans="5:8" ht="13.2">
      <c r="E114" s="17" t="str">
        <f ca="1">IFERROR(__xludf.DUMMYFUNCTION("""COMPUTED_VALUE"""),"")</f>
        <v/>
      </c>
      <c r="F114" s="17" t="str">
        <f ca="1">IFERROR(__xludf.DUMMYFUNCTION("""COMPUTED_VALUE"""),"")</f>
        <v/>
      </c>
      <c r="G114" s="17" t="str">
        <f ca="1">IFERROR(__xludf.DUMMYFUNCTION("""COMPUTED_VALUE"""),"")</f>
        <v/>
      </c>
      <c r="H114" s="17" t="str">
        <v/>
      </c>
    </row>
    <row r="115" spans="5:8" ht="13.2">
      <c r="E115" s="17" t="str">
        <f ca="1">IFERROR(__xludf.DUMMYFUNCTION("""COMPUTED_VALUE"""),"")</f>
        <v/>
      </c>
      <c r="F115" s="17" t="str">
        <f ca="1">IFERROR(__xludf.DUMMYFUNCTION("""COMPUTED_VALUE"""),"")</f>
        <v/>
      </c>
      <c r="G115" s="17" t="str">
        <f ca="1">IFERROR(__xludf.DUMMYFUNCTION("""COMPUTED_VALUE"""),"")</f>
        <v/>
      </c>
      <c r="H115" s="17" t="str">
        <v/>
      </c>
    </row>
    <row r="116" spans="5:8" ht="13.2">
      <c r="E116" s="17" t="str">
        <f ca="1">IFERROR(__xludf.DUMMYFUNCTION("""COMPUTED_VALUE"""),"")</f>
        <v/>
      </c>
      <c r="F116" s="17" t="str">
        <f ca="1">IFERROR(__xludf.DUMMYFUNCTION("""COMPUTED_VALUE"""),"")</f>
        <v/>
      </c>
      <c r="G116" s="17" t="str">
        <f ca="1">IFERROR(__xludf.DUMMYFUNCTION("""COMPUTED_VALUE"""),"")</f>
        <v/>
      </c>
      <c r="H116" s="17" t="str">
        <v/>
      </c>
    </row>
    <row r="117" spans="5:8" ht="13.2">
      <c r="E117" s="17" t="str">
        <f ca="1">IFERROR(__xludf.DUMMYFUNCTION("""COMPUTED_VALUE"""),"")</f>
        <v/>
      </c>
      <c r="F117" s="17" t="str">
        <f ca="1">IFERROR(__xludf.DUMMYFUNCTION("""COMPUTED_VALUE"""),"")</f>
        <v/>
      </c>
      <c r="G117" s="17" t="str">
        <f ca="1">IFERROR(__xludf.DUMMYFUNCTION("""COMPUTED_VALUE"""),"")</f>
        <v/>
      </c>
      <c r="H117" s="17" t="str">
        <v/>
      </c>
    </row>
    <row r="118" spans="5:8" ht="13.2">
      <c r="E118" s="17" t="str">
        <f ca="1">IFERROR(__xludf.DUMMYFUNCTION("""COMPUTED_VALUE"""),"")</f>
        <v/>
      </c>
      <c r="F118" s="17" t="str">
        <f ca="1">IFERROR(__xludf.DUMMYFUNCTION("""COMPUTED_VALUE"""),"")</f>
        <v/>
      </c>
      <c r="G118" s="17" t="str">
        <f ca="1">IFERROR(__xludf.DUMMYFUNCTION("""COMPUTED_VALUE"""),"")</f>
        <v/>
      </c>
      <c r="H118" s="17" t="str">
        <v/>
      </c>
    </row>
    <row r="119" spans="5:8" ht="13.2">
      <c r="E119" s="17" t="str">
        <f ca="1">IFERROR(__xludf.DUMMYFUNCTION("""COMPUTED_VALUE"""),"")</f>
        <v/>
      </c>
      <c r="F119" s="17" t="str">
        <f ca="1">IFERROR(__xludf.DUMMYFUNCTION("""COMPUTED_VALUE"""),"")</f>
        <v/>
      </c>
      <c r="G119" s="17" t="str">
        <f ca="1">IFERROR(__xludf.DUMMYFUNCTION("""COMPUTED_VALUE"""),"")</f>
        <v/>
      </c>
      <c r="H119" s="17" t="str">
        <v/>
      </c>
    </row>
    <row r="120" spans="5:8" ht="13.2">
      <c r="E120" s="17" t="str">
        <f ca="1">IFERROR(__xludf.DUMMYFUNCTION("""COMPUTED_VALUE"""),"")</f>
        <v/>
      </c>
      <c r="F120" s="17" t="str">
        <f ca="1">IFERROR(__xludf.DUMMYFUNCTION("""COMPUTED_VALUE"""),"")</f>
        <v/>
      </c>
      <c r="G120" s="17" t="str">
        <f ca="1">IFERROR(__xludf.DUMMYFUNCTION("""COMPUTED_VALUE"""),"")</f>
        <v/>
      </c>
      <c r="H120" s="17" t="str">
        <v/>
      </c>
    </row>
    <row r="121" spans="5:8" ht="13.2">
      <c r="E121" s="17" t="str">
        <f ca="1">IFERROR(__xludf.DUMMYFUNCTION("""COMPUTED_VALUE"""),"")</f>
        <v/>
      </c>
      <c r="F121" s="17" t="str">
        <f ca="1">IFERROR(__xludf.DUMMYFUNCTION("""COMPUTED_VALUE"""),"")</f>
        <v/>
      </c>
      <c r="G121" s="17" t="str">
        <f ca="1">IFERROR(__xludf.DUMMYFUNCTION("""COMPUTED_VALUE"""),"")</f>
        <v/>
      </c>
      <c r="H121" s="17" t="str">
        <v/>
      </c>
    </row>
    <row r="122" spans="5:8" ht="13.2">
      <c r="E122" s="17" t="str">
        <f ca="1">IFERROR(__xludf.DUMMYFUNCTION("""COMPUTED_VALUE"""),"")</f>
        <v/>
      </c>
      <c r="F122" s="17" t="str">
        <f ca="1">IFERROR(__xludf.DUMMYFUNCTION("""COMPUTED_VALUE"""),"")</f>
        <v/>
      </c>
      <c r="G122" s="17" t="str">
        <f ca="1">IFERROR(__xludf.DUMMYFUNCTION("""COMPUTED_VALUE"""),"")</f>
        <v/>
      </c>
      <c r="H122" s="17" t="str">
        <v/>
      </c>
    </row>
    <row r="123" spans="5:8" ht="13.2">
      <c r="E123" s="17" t="str">
        <f ca="1">IFERROR(__xludf.DUMMYFUNCTION("""COMPUTED_VALUE"""),"")</f>
        <v/>
      </c>
      <c r="F123" s="17" t="str">
        <f ca="1">IFERROR(__xludf.DUMMYFUNCTION("""COMPUTED_VALUE"""),"")</f>
        <v/>
      </c>
      <c r="G123" s="17" t="str">
        <f ca="1">IFERROR(__xludf.DUMMYFUNCTION("""COMPUTED_VALUE"""),"")</f>
        <v/>
      </c>
      <c r="H123" s="17" t="str">
        <v/>
      </c>
    </row>
    <row r="124" spans="5:8" ht="13.2">
      <c r="E124" s="17" t="str">
        <f ca="1">IFERROR(__xludf.DUMMYFUNCTION("""COMPUTED_VALUE"""),"")</f>
        <v/>
      </c>
      <c r="F124" s="17" t="str">
        <f ca="1">IFERROR(__xludf.DUMMYFUNCTION("""COMPUTED_VALUE"""),"")</f>
        <v/>
      </c>
      <c r="G124" s="17" t="str">
        <f ca="1">IFERROR(__xludf.DUMMYFUNCTION("""COMPUTED_VALUE"""),"")</f>
        <v/>
      </c>
      <c r="H124" s="17" t="str">
        <v/>
      </c>
    </row>
    <row r="125" spans="5:8" ht="13.2">
      <c r="E125" s="17" t="str">
        <f ca="1">IFERROR(__xludf.DUMMYFUNCTION("""COMPUTED_VALUE"""),"")</f>
        <v/>
      </c>
      <c r="F125" s="17" t="str">
        <f ca="1">IFERROR(__xludf.DUMMYFUNCTION("""COMPUTED_VALUE"""),"")</f>
        <v/>
      </c>
      <c r="G125" s="17" t="str">
        <f ca="1">IFERROR(__xludf.DUMMYFUNCTION("""COMPUTED_VALUE"""),"")</f>
        <v/>
      </c>
      <c r="H125" s="17" t="str">
        <v/>
      </c>
    </row>
    <row r="126" spans="5:8" ht="13.2">
      <c r="E126" s="17" t="str">
        <f ca="1">IFERROR(__xludf.DUMMYFUNCTION("""COMPUTED_VALUE"""),"")</f>
        <v/>
      </c>
      <c r="F126" s="17" t="str">
        <f ca="1">IFERROR(__xludf.DUMMYFUNCTION("""COMPUTED_VALUE"""),"")</f>
        <v/>
      </c>
      <c r="G126" s="17" t="str">
        <f ca="1">IFERROR(__xludf.DUMMYFUNCTION("""COMPUTED_VALUE"""),"")</f>
        <v/>
      </c>
      <c r="H126" s="17" t="str">
        <v/>
      </c>
    </row>
    <row r="127" spans="5:8" ht="13.2">
      <c r="E127" s="17" t="str">
        <f ca="1">IFERROR(__xludf.DUMMYFUNCTION("""COMPUTED_VALUE"""),"")</f>
        <v/>
      </c>
      <c r="F127" s="17" t="str">
        <f ca="1">IFERROR(__xludf.DUMMYFUNCTION("""COMPUTED_VALUE"""),"")</f>
        <v/>
      </c>
      <c r="G127" s="17" t="str">
        <f ca="1">IFERROR(__xludf.DUMMYFUNCTION("""COMPUTED_VALUE"""),"")</f>
        <v/>
      </c>
      <c r="H127" s="17" t="str">
        <v/>
      </c>
    </row>
    <row r="128" spans="5:8" ht="13.2">
      <c r="E128" s="17" t="str">
        <f ca="1">IFERROR(__xludf.DUMMYFUNCTION("""COMPUTED_VALUE"""),"")</f>
        <v/>
      </c>
      <c r="F128" s="17" t="str">
        <f ca="1">IFERROR(__xludf.DUMMYFUNCTION("""COMPUTED_VALUE"""),"")</f>
        <v/>
      </c>
      <c r="G128" s="17" t="str">
        <f ca="1">IFERROR(__xludf.DUMMYFUNCTION("""COMPUTED_VALUE"""),"")</f>
        <v/>
      </c>
      <c r="H128" s="17" t="str">
        <v/>
      </c>
    </row>
    <row r="129" spans="5:8" ht="13.2">
      <c r="E129" s="17" t="str">
        <f ca="1">IFERROR(__xludf.DUMMYFUNCTION("""COMPUTED_VALUE"""),"")</f>
        <v/>
      </c>
      <c r="F129" s="17" t="str">
        <f ca="1">IFERROR(__xludf.DUMMYFUNCTION("""COMPUTED_VALUE"""),"")</f>
        <v/>
      </c>
      <c r="G129" s="17" t="str">
        <f ca="1">IFERROR(__xludf.DUMMYFUNCTION("""COMPUTED_VALUE"""),"")</f>
        <v/>
      </c>
      <c r="H129" s="17" t="str">
        <v/>
      </c>
    </row>
    <row r="130" spans="5:8" ht="13.2">
      <c r="E130" s="17" t="str">
        <f ca="1">IFERROR(__xludf.DUMMYFUNCTION("""COMPUTED_VALUE"""),"")</f>
        <v/>
      </c>
      <c r="F130" s="17" t="str">
        <f ca="1">IFERROR(__xludf.DUMMYFUNCTION("""COMPUTED_VALUE"""),"")</f>
        <v/>
      </c>
      <c r="G130" s="17" t="str">
        <f ca="1">IFERROR(__xludf.DUMMYFUNCTION("""COMPUTED_VALUE"""),"")</f>
        <v/>
      </c>
      <c r="H130" s="17" t="str">
        <v/>
      </c>
    </row>
    <row r="131" spans="5:8" ht="13.2">
      <c r="E131" s="17" t="str">
        <f ca="1">IFERROR(__xludf.DUMMYFUNCTION("""COMPUTED_VALUE"""),"")</f>
        <v/>
      </c>
      <c r="F131" s="17" t="str">
        <f ca="1">IFERROR(__xludf.DUMMYFUNCTION("""COMPUTED_VALUE"""),"")</f>
        <v/>
      </c>
      <c r="G131" s="17" t="str">
        <f ca="1">IFERROR(__xludf.DUMMYFUNCTION("""COMPUTED_VALUE"""),"")</f>
        <v/>
      </c>
      <c r="H131" s="17" t="str">
        <v/>
      </c>
    </row>
    <row r="132" spans="5:8" ht="13.2">
      <c r="E132" s="17" t="str">
        <f ca="1">IFERROR(__xludf.DUMMYFUNCTION("""COMPUTED_VALUE"""),"")</f>
        <v/>
      </c>
      <c r="F132" s="17" t="str">
        <f ca="1">IFERROR(__xludf.DUMMYFUNCTION("""COMPUTED_VALUE"""),"")</f>
        <v/>
      </c>
      <c r="G132" s="17" t="str">
        <f ca="1">IFERROR(__xludf.DUMMYFUNCTION("""COMPUTED_VALUE"""),"")</f>
        <v/>
      </c>
      <c r="H132" s="17" t="str">
        <v/>
      </c>
    </row>
    <row r="133" spans="5:8" ht="13.2">
      <c r="E133" s="17" t="str">
        <f ca="1">IFERROR(__xludf.DUMMYFUNCTION("""COMPUTED_VALUE"""),"")</f>
        <v/>
      </c>
      <c r="F133" s="17" t="str">
        <f ca="1">IFERROR(__xludf.DUMMYFUNCTION("""COMPUTED_VALUE"""),"")</f>
        <v/>
      </c>
      <c r="G133" s="17" t="str">
        <f ca="1">IFERROR(__xludf.DUMMYFUNCTION("""COMPUTED_VALUE"""),"")</f>
        <v/>
      </c>
      <c r="H133" s="17" t="str">
        <v/>
      </c>
    </row>
    <row r="134" spans="5:8" ht="13.2">
      <c r="E134" s="17" t="str">
        <f ca="1">IFERROR(__xludf.DUMMYFUNCTION("""COMPUTED_VALUE"""),"")</f>
        <v/>
      </c>
      <c r="F134" s="17" t="str">
        <f ca="1">IFERROR(__xludf.DUMMYFUNCTION("""COMPUTED_VALUE"""),"")</f>
        <v/>
      </c>
      <c r="G134" s="17" t="str">
        <f ca="1">IFERROR(__xludf.DUMMYFUNCTION("""COMPUTED_VALUE"""),"")</f>
        <v/>
      </c>
      <c r="H134" s="17" t="str">
        <v/>
      </c>
    </row>
    <row r="135" spans="5:8" ht="13.2">
      <c r="E135" s="17" t="str">
        <f ca="1">IFERROR(__xludf.DUMMYFUNCTION("""COMPUTED_VALUE"""),"")</f>
        <v/>
      </c>
      <c r="F135" s="17" t="str">
        <f ca="1">IFERROR(__xludf.DUMMYFUNCTION("""COMPUTED_VALUE"""),"")</f>
        <v/>
      </c>
      <c r="G135" s="17" t="str">
        <f ca="1">IFERROR(__xludf.DUMMYFUNCTION("""COMPUTED_VALUE"""),"")</f>
        <v/>
      </c>
      <c r="H135" s="17" t="str">
        <v/>
      </c>
    </row>
    <row r="136" spans="5:8" ht="13.2">
      <c r="E136" s="17" t="str">
        <f ca="1">IFERROR(__xludf.DUMMYFUNCTION("""COMPUTED_VALUE"""),"")</f>
        <v/>
      </c>
      <c r="F136" s="17" t="str">
        <f ca="1">IFERROR(__xludf.DUMMYFUNCTION("""COMPUTED_VALUE"""),"")</f>
        <v/>
      </c>
      <c r="G136" s="17" t="str">
        <f ca="1">IFERROR(__xludf.DUMMYFUNCTION("""COMPUTED_VALUE"""),"")</f>
        <v/>
      </c>
      <c r="H136" s="17" t="str">
        <v/>
      </c>
    </row>
    <row r="137" spans="5:8" ht="13.2">
      <c r="E137" s="17" t="str">
        <f ca="1">IFERROR(__xludf.DUMMYFUNCTION("""COMPUTED_VALUE"""),"")</f>
        <v/>
      </c>
      <c r="F137" s="17" t="str">
        <f ca="1">IFERROR(__xludf.DUMMYFUNCTION("""COMPUTED_VALUE"""),"")</f>
        <v/>
      </c>
      <c r="G137" s="17" t="str">
        <f ca="1">IFERROR(__xludf.DUMMYFUNCTION("""COMPUTED_VALUE"""),"")</f>
        <v/>
      </c>
      <c r="H137" s="17" t="str">
        <v/>
      </c>
    </row>
    <row r="138" spans="5:8" ht="13.2">
      <c r="E138" s="17" t="str">
        <f ca="1">IFERROR(__xludf.DUMMYFUNCTION("""COMPUTED_VALUE"""),"")</f>
        <v/>
      </c>
      <c r="F138" s="17" t="str">
        <f ca="1">IFERROR(__xludf.DUMMYFUNCTION("""COMPUTED_VALUE"""),"")</f>
        <v/>
      </c>
      <c r="G138" s="17" t="str">
        <f ca="1">IFERROR(__xludf.DUMMYFUNCTION("""COMPUTED_VALUE"""),"")</f>
        <v/>
      </c>
      <c r="H138" s="17" t="str">
        <v/>
      </c>
    </row>
    <row r="139" spans="5:8" ht="13.2">
      <c r="E139" s="17" t="str">
        <f ca="1">IFERROR(__xludf.DUMMYFUNCTION("""COMPUTED_VALUE"""),"")</f>
        <v/>
      </c>
      <c r="F139" s="17" t="str">
        <f ca="1">IFERROR(__xludf.DUMMYFUNCTION("""COMPUTED_VALUE"""),"")</f>
        <v/>
      </c>
      <c r="G139" s="17" t="str">
        <f ca="1">IFERROR(__xludf.DUMMYFUNCTION("""COMPUTED_VALUE"""),"")</f>
        <v/>
      </c>
      <c r="H139" s="17" t="str">
        <v/>
      </c>
    </row>
    <row r="140" spans="5:8" ht="13.2">
      <c r="E140" s="17" t="str">
        <f ca="1">IFERROR(__xludf.DUMMYFUNCTION("""COMPUTED_VALUE"""),"")</f>
        <v/>
      </c>
      <c r="F140" s="17" t="str">
        <f ca="1">IFERROR(__xludf.DUMMYFUNCTION("""COMPUTED_VALUE"""),"")</f>
        <v/>
      </c>
      <c r="G140" s="17" t="str">
        <f ca="1">IFERROR(__xludf.DUMMYFUNCTION("""COMPUTED_VALUE"""),"")</f>
        <v/>
      </c>
      <c r="H140" s="17" t="str">
        <v/>
      </c>
    </row>
    <row r="141" spans="5:8" ht="13.2">
      <c r="E141" s="17" t="str">
        <f ca="1">IFERROR(__xludf.DUMMYFUNCTION("""COMPUTED_VALUE"""),"")</f>
        <v/>
      </c>
      <c r="F141" s="17" t="str">
        <f ca="1">IFERROR(__xludf.DUMMYFUNCTION("""COMPUTED_VALUE"""),"")</f>
        <v/>
      </c>
      <c r="G141" s="17" t="str">
        <f ca="1">IFERROR(__xludf.DUMMYFUNCTION("""COMPUTED_VALUE"""),"")</f>
        <v/>
      </c>
      <c r="H141" s="17" t="str">
        <v/>
      </c>
    </row>
    <row r="142" spans="5:8" ht="13.2">
      <c r="E142" s="17" t="str">
        <f ca="1">IFERROR(__xludf.DUMMYFUNCTION("""COMPUTED_VALUE"""),"")</f>
        <v/>
      </c>
      <c r="F142" s="17" t="str">
        <f ca="1">IFERROR(__xludf.DUMMYFUNCTION("""COMPUTED_VALUE"""),"")</f>
        <v/>
      </c>
      <c r="G142" s="17" t="str">
        <f ca="1">IFERROR(__xludf.DUMMYFUNCTION("""COMPUTED_VALUE"""),"")</f>
        <v/>
      </c>
      <c r="H142" s="17" t="str">
        <v/>
      </c>
    </row>
    <row r="143" spans="5:8" ht="13.2">
      <c r="E143" s="17" t="str">
        <f ca="1">IFERROR(__xludf.DUMMYFUNCTION("""COMPUTED_VALUE"""),"")</f>
        <v/>
      </c>
      <c r="F143" s="17" t="str">
        <f ca="1">IFERROR(__xludf.DUMMYFUNCTION("""COMPUTED_VALUE"""),"")</f>
        <v/>
      </c>
      <c r="G143" s="17" t="str">
        <f ca="1">IFERROR(__xludf.DUMMYFUNCTION("""COMPUTED_VALUE"""),"")</f>
        <v/>
      </c>
      <c r="H143" s="17" t="str">
        <v/>
      </c>
    </row>
    <row r="144" spans="5:8" ht="13.2">
      <c r="E144" s="17" t="str">
        <f ca="1">IFERROR(__xludf.DUMMYFUNCTION("""COMPUTED_VALUE"""),"")</f>
        <v/>
      </c>
      <c r="F144" s="17" t="str">
        <f ca="1">IFERROR(__xludf.DUMMYFUNCTION("""COMPUTED_VALUE"""),"")</f>
        <v/>
      </c>
      <c r="G144" s="17" t="str">
        <f ca="1">IFERROR(__xludf.DUMMYFUNCTION("""COMPUTED_VALUE"""),"")</f>
        <v/>
      </c>
      <c r="H144" s="17" t="str">
        <v/>
      </c>
    </row>
    <row r="145" spans="5:8" ht="13.2">
      <c r="E145" s="17" t="str">
        <f ca="1">IFERROR(__xludf.DUMMYFUNCTION("""COMPUTED_VALUE"""),"")</f>
        <v/>
      </c>
      <c r="F145" s="17" t="str">
        <f ca="1">IFERROR(__xludf.DUMMYFUNCTION("""COMPUTED_VALUE"""),"")</f>
        <v/>
      </c>
      <c r="G145" s="17" t="str">
        <f ca="1">IFERROR(__xludf.DUMMYFUNCTION("""COMPUTED_VALUE"""),"")</f>
        <v/>
      </c>
      <c r="H145" s="17" t="str">
        <v/>
      </c>
    </row>
    <row r="146" spans="5:8" ht="13.2">
      <c r="E146" s="17" t="str">
        <f ca="1">IFERROR(__xludf.DUMMYFUNCTION("""COMPUTED_VALUE"""),"")</f>
        <v/>
      </c>
      <c r="F146" s="17" t="str">
        <f ca="1">IFERROR(__xludf.DUMMYFUNCTION("""COMPUTED_VALUE"""),"")</f>
        <v/>
      </c>
      <c r="G146" s="17" t="str">
        <f ca="1">IFERROR(__xludf.DUMMYFUNCTION("""COMPUTED_VALUE"""),"")</f>
        <v/>
      </c>
      <c r="H146" s="17" t="str">
        <v/>
      </c>
    </row>
    <row r="147" spans="5:8" ht="13.2">
      <c r="E147" s="17" t="str">
        <f ca="1">IFERROR(__xludf.DUMMYFUNCTION("""COMPUTED_VALUE"""),"")</f>
        <v/>
      </c>
      <c r="F147" s="17" t="str">
        <f ca="1">IFERROR(__xludf.DUMMYFUNCTION("""COMPUTED_VALUE"""),"")</f>
        <v/>
      </c>
      <c r="G147" s="17" t="str">
        <f ca="1">IFERROR(__xludf.DUMMYFUNCTION("""COMPUTED_VALUE"""),"")</f>
        <v/>
      </c>
      <c r="H147" s="17" t="str">
        <v/>
      </c>
    </row>
    <row r="148" spans="5:8" ht="13.2">
      <c r="E148" s="17" t="str">
        <f ca="1">IFERROR(__xludf.DUMMYFUNCTION("""COMPUTED_VALUE"""),"")</f>
        <v/>
      </c>
      <c r="F148" s="17" t="str">
        <f ca="1">IFERROR(__xludf.DUMMYFUNCTION("""COMPUTED_VALUE"""),"")</f>
        <v/>
      </c>
      <c r="G148" s="17" t="str">
        <f ca="1">IFERROR(__xludf.DUMMYFUNCTION("""COMPUTED_VALUE"""),"")</f>
        <v/>
      </c>
      <c r="H148" s="17" t="str">
        <v/>
      </c>
    </row>
    <row r="149" spans="5:8" ht="13.2">
      <c r="E149" s="17" t="str">
        <f ca="1">IFERROR(__xludf.DUMMYFUNCTION("""COMPUTED_VALUE"""),"")</f>
        <v/>
      </c>
      <c r="F149" s="17" t="str">
        <f ca="1">IFERROR(__xludf.DUMMYFUNCTION("""COMPUTED_VALUE"""),"")</f>
        <v/>
      </c>
      <c r="G149" s="17" t="str">
        <f ca="1">IFERROR(__xludf.DUMMYFUNCTION("""COMPUTED_VALUE"""),"")</f>
        <v/>
      </c>
      <c r="H149" s="17" t="str">
        <v/>
      </c>
    </row>
    <row r="150" spans="5:8" ht="13.2">
      <c r="E150" s="17" t="str">
        <f ca="1">IFERROR(__xludf.DUMMYFUNCTION("""COMPUTED_VALUE"""),"")</f>
        <v/>
      </c>
      <c r="F150" s="17" t="str">
        <f ca="1">IFERROR(__xludf.DUMMYFUNCTION("""COMPUTED_VALUE"""),"")</f>
        <v/>
      </c>
      <c r="G150" s="17" t="str">
        <f ca="1">IFERROR(__xludf.DUMMYFUNCTION("""COMPUTED_VALUE"""),"")</f>
        <v/>
      </c>
      <c r="H150" s="17" t="str">
        <v/>
      </c>
    </row>
    <row r="151" spans="5:8" ht="13.2">
      <c r="E151" s="17" t="str">
        <f ca="1">IFERROR(__xludf.DUMMYFUNCTION("""COMPUTED_VALUE"""),"")</f>
        <v/>
      </c>
      <c r="F151" s="17" t="str">
        <f ca="1">IFERROR(__xludf.DUMMYFUNCTION("""COMPUTED_VALUE"""),"")</f>
        <v/>
      </c>
      <c r="G151" s="17" t="str">
        <f ca="1">IFERROR(__xludf.DUMMYFUNCTION("""COMPUTED_VALUE"""),"")</f>
        <v/>
      </c>
      <c r="H151" s="17" t="str">
        <v/>
      </c>
    </row>
    <row r="152" spans="5:8" ht="13.2">
      <c r="E152" s="17" t="str">
        <f ca="1">IFERROR(__xludf.DUMMYFUNCTION("""COMPUTED_VALUE"""),"")</f>
        <v/>
      </c>
      <c r="F152" s="17" t="str">
        <f ca="1">IFERROR(__xludf.DUMMYFUNCTION("""COMPUTED_VALUE"""),"")</f>
        <v/>
      </c>
      <c r="G152" s="17" t="str">
        <f ca="1">IFERROR(__xludf.DUMMYFUNCTION("""COMPUTED_VALUE"""),"")</f>
        <v/>
      </c>
      <c r="H152" s="17" t="str">
        <v/>
      </c>
    </row>
    <row r="153" spans="5:8" ht="13.2">
      <c r="E153" s="17" t="str">
        <f ca="1">IFERROR(__xludf.DUMMYFUNCTION("""COMPUTED_VALUE"""),"")</f>
        <v/>
      </c>
      <c r="F153" s="17" t="str">
        <f ca="1">IFERROR(__xludf.DUMMYFUNCTION("""COMPUTED_VALUE"""),"")</f>
        <v/>
      </c>
      <c r="G153" s="17" t="str">
        <f ca="1">IFERROR(__xludf.DUMMYFUNCTION("""COMPUTED_VALUE"""),"")</f>
        <v/>
      </c>
      <c r="H153" s="17" t="str">
        <v/>
      </c>
    </row>
    <row r="154" spans="5:8" ht="13.2">
      <c r="E154" s="17" t="str">
        <f ca="1">IFERROR(__xludf.DUMMYFUNCTION("""COMPUTED_VALUE"""),"")</f>
        <v/>
      </c>
      <c r="F154" s="17" t="str">
        <f ca="1">IFERROR(__xludf.DUMMYFUNCTION("""COMPUTED_VALUE"""),"")</f>
        <v/>
      </c>
      <c r="G154" s="17" t="str">
        <f ca="1">IFERROR(__xludf.DUMMYFUNCTION("""COMPUTED_VALUE"""),"")</f>
        <v/>
      </c>
      <c r="H154" s="17" t="str">
        <v/>
      </c>
    </row>
    <row r="155" spans="5:8" ht="13.2">
      <c r="E155" s="17" t="str">
        <f ca="1">IFERROR(__xludf.DUMMYFUNCTION("""COMPUTED_VALUE"""),"")</f>
        <v/>
      </c>
      <c r="F155" s="17" t="str">
        <f ca="1">IFERROR(__xludf.DUMMYFUNCTION("""COMPUTED_VALUE"""),"")</f>
        <v/>
      </c>
      <c r="G155" s="17" t="str">
        <f ca="1">IFERROR(__xludf.DUMMYFUNCTION("""COMPUTED_VALUE"""),"")</f>
        <v/>
      </c>
      <c r="H155" s="17" t="str">
        <v/>
      </c>
    </row>
    <row r="156" spans="5:8" ht="13.2">
      <c r="E156" s="17" t="str">
        <f ca="1">IFERROR(__xludf.DUMMYFUNCTION("""COMPUTED_VALUE"""),"")</f>
        <v/>
      </c>
      <c r="F156" s="17" t="str">
        <f ca="1">IFERROR(__xludf.DUMMYFUNCTION("""COMPUTED_VALUE"""),"")</f>
        <v/>
      </c>
      <c r="G156" s="17" t="str">
        <f ca="1">IFERROR(__xludf.DUMMYFUNCTION("""COMPUTED_VALUE"""),"")</f>
        <v/>
      </c>
      <c r="H156" s="17" t="str">
        <v/>
      </c>
    </row>
    <row r="157" spans="5:8" ht="13.2">
      <c r="E157" s="17" t="str">
        <f ca="1">IFERROR(__xludf.DUMMYFUNCTION("""COMPUTED_VALUE"""),"")</f>
        <v/>
      </c>
      <c r="F157" s="17" t="str">
        <f ca="1">IFERROR(__xludf.DUMMYFUNCTION("""COMPUTED_VALUE"""),"")</f>
        <v/>
      </c>
      <c r="G157" s="17" t="str">
        <f ca="1">IFERROR(__xludf.DUMMYFUNCTION("""COMPUTED_VALUE"""),"")</f>
        <v/>
      </c>
      <c r="H157" s="17" t="str">
        <v/>
      </c>
    </row>
    <row r="158" spans="5:8" ht="13.2">
      <c r="E158" s="17" t="str">
        <f ca="1">IFERROR(__xludf.DUMMYFUNCTION("""COMPUTED_VALUE"""),"")</f>
        <v/>
      </c>
      <c r="F158" s="17" t="str">
        <f ca="1">IFERROR(__xludf.DUMMYFUNCTION("""COMPUTED_VALUE"""),"")</f>
        <v/>
      </c>
      <c r="G158" s="17" t="str">
        <f ca="1">IFERROR(__xludf.DUMMYFUNCTION("""COMPUTED_VALUE"""),"")</f>
        <v/>
      </c>
      <c r="H158" s="17" t="str">
        <v/>
      </c>
    </row>
    <row r="159" spans="5:8" ht="13.2">
      <c r="E159" s="17" t="str">
        <f ca="1">IFERROR(__xludf.DUMMYFUNCTION("""COMPUTED_VALUE"""),"")</f>
        <v/>
      </c>
      <c r="F159" s="17" t="str">
        <f ca="1">IFERROR(__xludf.DUMMYFUNCTION("""COMPUTED_VALUE"""),"")</f>
        <v/>
      </c>
      <c r="G159" s="17" t="str">
        <f ca="1">IFERROR(__xludf.DUMMYFUNCTION("""COMPUTED_VALUE"""),"")</f>
        <v/>
      </c>
      <c r="H159" s="17" t="str">
        <v/>
      </c>
    </row>
    <row r="160" spans="5:8" ht="13.2">
      <c r="E160" s="17" t="str">
        <f ca="1">IFERROR(__xludf.DUMMYFUNCTION("""COMPUTED_VALUE"""),"")</f>
        <v/>
      </c>
      <c r="F160" s="17" t="str">
        <f ca="1">IFERROR(__xludf.DUMMYFUNCTION("""COMPUTED_VALUE"""),"")</f>
        <v/>
      </c>
      <c r="G160" s="17" t="str">
        <f ca="1">IFERROR(__xludf.DUMMYFUNCTION("""COMPUTED_VALUE"""),"")</f>
        <v/>
      </c>
      <c r="H160" s="17" t="str">
        <v/>
      </c>
    </row>
    <row r="161" spans="5:8" ht="13.2">
      <c r="E161" s="17" t="str">
        <f ca="1">IFERROR(__xludf.DUMMYFUNCTION("""COMPUTED_VALUE"""),"")</f>
        <v/>
      </c>
      <c r="F161" s="17" t="str">
        <f ca="1">IFERROR(__xludf.DUMMYFUNCTION("""COMPUTED_VALUE"""),"")</f>
        <v/>
      </c>
      <c r="G161" s="17" t="str">
        <f ca="1">IFERROR(__xludf.DUMMYFUNCTION("""COMPUTED_VALUE"""),"")</f>
        <v/>
      </c>
      <c r="H161" s="17" t="str">
        <v/>
      </c>
    </row>
    <row r="162" spans="5:8" ht="13.2">
      <c r="E162" s="17" t="str">
        <f ca="1">IFERROR(__xludf.DUMMYFUNCTION("""COMPUTED_VALUE"""),"")</f>
        <v/>
      </c>
      <c r="F162" s="17" t="str">
        <f ca="1">IFERROR(__xludf.DUMMYFUNCTION("""COMPUTED_VALUE"""),"")</f>
        <v/>
      </c>
      <c r="G162" s="17" t="str">
        <f ca="1">IFERROR(__xludf.DUMMYFUNCTION("""COMPUTED_VALUE"""),"")</f>
        <v/>
      </c>
      <c r="H162" s="17" t="str">
        <v/>
      </c>
    </row>
    <row r="163" spans="5:8" ht="13.2">
      <c r="E163" s="17" t="str">
        <f ca="1">IFERROR(__xludf.DUMMYFUNCTION("""COMPUTED_VALUE"""),"")</f>
        <v/>
      </c>
      <c r="F163" s="17" t="str">
        <f ca="1">IFERROR(__xludf.DUMMYFUNCTION("""COMPUTED_VALUE"""),"")</f>
        <v/>
      </c>
      <c r="G163" s="17" t="str">
        <f ca="1">IFERROR(__xludf.DUMMYFUNCTION("""COMPUTED_VALUE"""),"")</f>
        <v/>
      </c>
      <c r="H163" s="17" t="str">
        <v/>
      </c>
    </row>
    <row r="164" spans="5:8" ht="13.2">
      <c r="E164" s="17" t="str">
        <f ca="1">IFERROR(__xludf.DUMMYFUNCTION("""COMPUTED_VALUE"""),"")</f>
        <v/>
      </c>
      <c r="F164" s="17" t="str">
        <f ca="1">IFERROR(__xludf.DUMMYFUNCTION("""COMPUTED_VALUE"""),"")</f>
        <v/>
      </c>
      <c r="G164" s="17" t="str">
        <f ca="1">IFERROR(__xludf.DUMMYFUNCTION("""COMPUTED_VALUE"""),"")</f>
        <v/>
      </c>
      <c r="H164" s="17" t="str">
        <v/>
      </c>
    </row>
    <row r="165" spans="5:8" ht="13.2">
      <c r="E165" s="17" t="str">
        <f ca="1">IFERROR(__xludf.DUMMYFUNCTION("""COMPUTED_VALUE"""),"")</f>
        <v/>
      </c>
      <c r="F165" s="17" t="str">
        <f ca="1">IFERROR(__xludf.DUMMYFUNCTION("""COMPUTED_VALUE"""),"")</f>
        <v/>
      </c>
      <c r="G165" s="17" t="str">
        <f ca="1">IFERROR(__xludf.DUMMYFUNCTION("""COMPUTED_VALUE"""),"")</f>
        <v/>
      </c>
      <c r="H165" s="17" t="str">
        <v/>
      </c>
    </row>
    <row r="166" spans="5:8" ht="13.2">
      <c r="E166" s="17" t="str">
        <f ca="1">IFERROR(__xludf.DUMMYFUNCTION("""COMPUTED_VALUE"""),"")</f>
        <v/>
      </c>
      <c r="F166" s="17" t="str">
        <f ca="1">IFERROR(__xludf.DUMMYFUNCTION("""COMPUTED_VALUE"""),"")</f>
        <v/>
      </c>
      <c r="G166" s="17" t="str">
        <f ca="1">IFERROR(__xludf.DUMMYFUNCTION("""COMPUTED_VALUE"""),"")</f>
        <v/>
      </c>
      <c r="H166" s="17" t="str">
        <v/>
      </c>
    </row>
    <row r="167" spans="5:8" ht="13.2">
      <c r="E167" s="17" t="str">
        <f ca="1">IFERROR(__xludf.DUMMYFUNCTION("""COMPUTED_VALUE"""),"")</f>
        <v/>
      </c>
      <c r="F167" s="17" t="str">
        <f ca="1">IFERROR(__xludf.DUMMYFUNCTION("""COMPUTED_VALUE"""),"")</f>
        <v/>
      </c>
      <c r="G167" s="17" t="str">
        <f ca="1">IFERROR(__xludf.DUMMYFUNCTION("""COMPUTED_VALUE"""),"")</f>
        <v/>
      </c>
      <c r="H167" s="17" t="str">
        <v/>
      </c>
    </row>
    <row r="168" spans="5:8" ht="13.2">
      <c r="E168" s="17" t="str">
        <f ca="1">IFERROR(__xludf.DUMMYFUNCTION("""COMPUTED_VALUE"""),"")</f>
        <v/>
      </c>
      <c r="F168" s="17" t="str">
        <f ca="1">IFERROR(__xludf.DUMMYFUNCTION("""COMPUTED_VALUE"""),"")</f>
        <v/>
      </c>
      <c r="G168" s="17" t="str">
        <f ca="1">IFERROR(__xludf.DUMMYFUNCTION("""COMPUTED_VALUE"""),"")</f>
        <v/>
      </c>
      <c r="H168" s="17" t="str">
        <v/>
      </c>
    </row>
    <row r="169" spans="5:8" ht="13.2">
      <c r="E169" s="17" t="str">
        <f ca="1">IFERROR(__xludf.DUMMYFUNCTION("""COMPUTED_VALUE"""),"")</f>
        <v/>
      </c>
      <c r="F169" s="17" t="str">
        <f ca="1">IFERROR(__xludf.DUMMYFUNCTION("""COMPUTED_VALUE"""),"")</f>
        <v/>
      </c>
      <c r="G169" s="17" t="str">
        <f ca="1">IFERROR(__xludf.DUMMYFUNCTION("""COMPUTED_VALUE"""),"")</f>
        <v/>
      </c>
      <c r="H169" s="17" t="str">
        <v/>
      </c>
    </row>
    <row r="170" spans="5:8" ht="13.2">
      <c r="E170" s="17" t="str">
        <f ca="1">IFERROR(__xludf.DUMMYFUNCTION("""COMPUTED_VALUE"""),"")</f>
        <v/>
      </c>
      <c r="F170" s="17" t="str">
        <f ca="1">IFERROR(__xludf.DUMMYFUNCTION("""COMPUTED_VALUE"""),"")</f>
        <v/>
      </c>
      <c r="G170" s="17" t="str">
        <f ca="1">IFERROR(__xludf.DUMMYFUNCTION("""COMPUTED_VALUE"""),"")</f>
        <v/>
      </c>
      <c r="H170" s="17" t="str">
        <v/>
      </c>
    </row>
    <row r="171" spans="5:8" ht="13.2">
      <c r="E171" s="17" t="str">
        <f ca="1">IFERROR(__xludf.DUMMYFUNCTION("""COMPUTED_VALUE"""),"")</f>
        <v/>
      </c>
      <c r="F171" s="17" t="str">
        <f ca="1">IFERROR(__xludf.DUMMYFUNCTION("""COMPUTED_VALUE"""),"")</f>
        <v/>
      </c>
      <c r="G171" s="17" t="str">
        <f ca="1">IFERROR(__xludf.DUMMYFUNCTION("""COMPUTED_VALUE"""),"")</f>
        <v/>
      </c>
      <c r="H171" s="17" t="str">
        <v/>
      </c>
    </row>
    <row r="172" spans="5:8" ht="13.2">
      <c r="E172" s="17" t="str">
        <f ca="1">IFERROR(__xludf.DUMMYFUNCTION("""COMPUTED_VALUE"""),"")</f>
        <v/>
      </c>
      <c r="F172" s="17" t="str">
        <f ca="1">IFERROR(__xludf.DUMMYFUNCTION("""COMPUTED_VALUE"""),"")</f>
        <v/>
      </c>
      <c r="G172" s="17" t="str">
        <f ca="1">IFERROR(__xludf.DUMMYFUNCTION("""COMPUTED_VALUE"""),"")</f>
        <v/>
      </c>
      <c r="H172" s="17" t="str">
        <v/>
      </c>
    </row>
    <row r="173" spans="5:8" ht="13.2">
      <c r="E173" s="17" t="str">
        <f ca="1">IFERROR(__xludf.DUMMYFUNCTION("""COMPUTED_VALUE"""),"")</f>
        <v/>
      </c>
      <c r="F173" s="17" t="str">
        <f ca="1">IFERROR(__xludf.DUMMYFUNCTION("""COMPUTED_VALUE"""),"")</f>
        <v/>
      </c>
      <c r="G173" s="17" t="str">
        <f ca="1">IFERROR(__xludf.DUMMYFUNCTION("""COMPUTED_VALUE"""),"")</f>
        <v/>
      </c>
      <c r="H173" s="17" t="str">
        <v/>
      </c>
    </row>
    <row r="174" spans="5:8" ht="13.2">
      <c r="E174" s="17" t="str">
        <f ca="1">IFERROR(__xludf.DUMMYFUNCTION("""COMPUTED_VALUE"""),"")</f>
        <v/>
      </c>
      <c r="F174" s="17" t="str">
        <f ca="1">IFERROR(__xludf.DUMMYFUNCTION("""COMPUTED_VALUE"""),"")</f>
        <v/>
      </c>
      <c r="G174" s="17" t="str">
        <f ca="1">IFERROR(__xludf.DUMMYFUNCTION("""COMPUTED_VALUE"""),"")</f>
        <v/>
      </c>
      <c r="H174" s="17" t="str">
        <v/>
      </c>
    </row>
    <row r="175" spans="5:8" ht="13.2">
      <c r="E175" s="17" t="str">
        <f ca="1">IFERROR(__xludf.DUMMYFUNCTION("""COMPUTED_VALUE"""),"")</f>
        <v/>
      </c>
      <c r="F175" s="17" t="str">
        <f ca="1">IFERROR(__xludf.DUMMYFUNCTION("""COMPUTED_VALUE"""),"")</f>
        <v/>
      </c>
      <c r="G175" s="17" t="str">
        <f ca="1">IFERROR(__xludf.DUMMYFUNCTION("""COMPUTED_VALUE"""),"")</f>
        <v/>
      </c>
      <c r="H175" s="17" t="str">
        <v/>
      </c>
    </row>
    <row r="176" spans="5:8" ht="13.2">
      <c r="E176" s="17" t="str">
        <f ca="1">IFERROR(__xludf.DUMMYFUNCTION("""COMPUTED_VALUE"""),"")</f>
        <v/>
      </c>
      <c r="F176" s="17" t="str">
        <f ca="1">IFERROR(__xludf.DUMMYFUNCTION("""COMPUTED_VALUE"""),"")</f>
        <v/>
      </c>
      <c r="G176" s="17" t="str">
        <f ca="1">IFERROR(__xludf.DUMMYFUNCTION("""COMPUTED_VALUE"""),"")</f>
        <v/>
      </c>
      <c r="H176" s="17" t="str">
        <v/>
      </c>
    </row>
    <row r="177" spans="5:8" ht="13.2">
      <c r="E177" s="17" t="str">
        <f ca="1">IFERROR(__xludf.DUMMYFUNCTION("""COMPUTED_VALUE"""),"")</f>
        <v/>
      </c>
      <c r="F177" s="17" t="str">
        <f ca="1">IFERROR(__xludf.DUMMYFUNCTION("""COMPUTED_VALUE"""),"")</f>
        <v/>
      </c>
      <c r="G177" s="17" t="str">
        <f ca="1">IFERROR(__xludf.DUMMYFUNCTION("""COMPUTED_VALUE"""),"")</f>
        <v/>
      </c>
      <c r="H177" s="17" t="str">
        <v/>
      </c>
    </row>
    <row r="178" spans="5:8" ht="13.2">
      <c r="E178" s="17" t="str">
        <f ca="1">IFERROR(__xludf.DUMMYFUNCTION("""COMPUTED_VALUE"""),"")</f>
        <v/>
      </c>
      <c r="F178" s="17" t="str">
        <f ca="1">IFERROR(__xludf.DUMMYFUNCTION("""COMPUTED_VALUE"""),"")</f>
        <v/>
      </c>
      <c r="G178" s="17" t="str">
        <f ca="1">IFERROR(__xludf.DUMMYFUNCTION("""COMPUTED_VALUE"""),"")</f>
        <v/>
      </c>
      <c r="H178" s="17" t="str">
        <v/>
      </c>
    </row>
    <row r="179" spans="5:8" ht="13.2">
      <c r="E179" s="17" t="str">
        <f ca="1">IFERROR(__xludf.DUMMYFUNCTION("""COMPUTED_VALUE"""),"")</f>
        <v/>
      </c>
      <c r="F179" s="17" t="str">
        <f ca="1">IFERROR(__xludf.DUMMYFUNCTION("""COMPUTED_VALUE"""),"")</f>
        <v/>
      </c>
      <c r="G179" s="17" t="str">
        <f ca="1">IFERROR(__xludf.DUMMYFUNCTION("""COMPUTED_VALUE"""),"")</f>
        <v/>
      </c>
      <c r="H179" s="17" t="str">
        <v/>
      </c>
    </row>
    <row r="180" spans="5:8" ht="13.2">
      <c r="E180" s="17" t="str">
        <f ca="1">IFERROR(__xludf.DUMMYFUNCTION("""COMPUTED_VALUE"""),"")</f>
        <v/>
      </c>
      <c r="F180" s="17" t="str">
        <f ca="1">IFERROR(__xludf.DUMMYFUNCTION("""COMPUTED_VALUE"""),"")</f>
        <v/>
      </c>
      <c r="G180" s="17" t="str">
        <f ca="1">IFERROR(__xludf.DUMMYFUNCTION("""COMPUTED_VALUE"""),"")</f>
        <v/>
      </c>
      <c r="H180" s="17" t="str">
        <v/>
      </c>
    </row>
    <row r="181" spans="5:8" ht="13.2">
      <c r="E181" s="17" t="str">
        <f ca="1">IFERROR(__xludf.DUMMYFUNCTION("""COMPUTED_VALUE"""),"")</f>
        <v/>
      </c>
      <c r="F181" s="17" t="str">
        <f ca="1">IFERROR(__xludf.DUMMYFUNCTION("""COMPUTED_VALUE"""),"")</f>
        <v/>
      </c>
      <c r="G181" s="17" t="str">
        <f ca="1">IFERROR(__xludf.DUMMYFUNCTION("""COMPUTED_VALUE"""),"")</f>
        <v/>
      </c>
      <c r="H181" s="17" t="str">
        <v/>
      </c>
    </row>
    <row r="182" spans="5:8" ht="13.2">
      <c r="E182" s="17" t="str">
        <f ca="1">IFERROR(__xludf.DUMMYFUNCTION("""COMPUTED_VALUE"""),"")</f>
        <v/>
      </c>
      <c r="F182" s="17" t="str">
        <f ca="1">IFERROR(__xludf.DUMMYFUNCTION("""COMPUTED_VALUE"""),"")</f>
        <v/>
      </c>
      <c r="G182" s="17" t="str">
        <f ca="1">IFERROR(__xludf.DUMMYFUNCTION("""COMPUTED_VALUE"""),"")</f>
        <v/>
      </c>
      <c r="H182" s="17" t="str">
        <v/>
      </c>
    </row>
    <row r="183" spans="5:8" ht="13.2">
      <c r="E183" s="17" t="str">
        <f ca="1">IFERROR(__xludf.DUMMYFUNCTION("""COMPUTED_VALUE"""),"")</f>
        <v/>
      </c>
      <c r="F183" s="17" t="str">
        <f ca="1">IFERROR(__xludf.DUMMYFUNCTION("""COMPUTED_VALUE"""),"")</f>
        <v/>
      </c>
      <c r="G183" s="17" t="str">
        <f ca="1">IFERROR(__xludf.DUMMYFUNCTION("""COMPUTED_VALUE"""),"")</f>
        <v/>
      </c>
      <c r="H183" s="17" t="str">
        <v/>
      </c>
    </row>
    <row r="184" spans="5:8" ht="13.2">
      <c r="E184" s="17" t="str">
        <f ca="1">IFERROR(__xludf.DUMMYFUNCTION("""COMPUTED_VALUE"""),"")</f>
        <v/>
      </c>
      <c r="F184" s="17" t="str">
        <f ca="1">IFERROR(__xludf.DUMMYFUNCTION("""COMPUTED_VALUE"""),"")</f>
        <v/>
      </c>
      <c r="G184" s="17" t="str">
        <f ca="1">IFERROR(__xludf.DUMMYFUNCTION("""COMPUTED_VALUE"""),"")</f>
        <v/>
      </c>
      <c r="H184" s="17" t="str">
        <v/>
      </c>
    </row>
    <row r="185" spans="5:8" ht="13.2">
      <c r="E185" s="17" t="str">
        <f ca="1">IFERROR(__xludf.DUMMYFUNCTION("""COMPUTED_VALUE"""),"")</f>
        <v/>
      </c>
      <c r="F185" s="17" t="str">
        <f ca="1">IFERROR(__xludf.DUMMYFUNCTION("""COMPUTED_VALUE"""),"")</f>
        <v/>
      </c>
      <c r="G185" s="17" t="str">
        <f ca="1">IFERROR(__xludf.DUMMYFUNCTION("""COMPUTED_VALUE"""),"")</f>
        <v/>
      </c>
      <c r="H185" s="17" t="str">
        <v/>
      </c>
    </row>
    <row r="186" spans="5:8" ht="13.2">
      <c r="E186" s="17" t="str">
        <f ca="1">IFERROR(__xludf.DUMMYFUNCTION("""COMPUTED_VALUE"""),"")</f>
        <v/>
      </c>
      <c r="F186" s="17" t="str">
        <f ca="1">IFERROR(__xludf.DUMMYFUNCTION("""COMPUTED_VALUE"""),"")</f>
        <v/>
      </c>
      <c r="G186" s="17" t="str">
        <f ca="1">IFERROR(__xludf.DUMMYFUNCTION("""COMPUTED_VALUE"""),"")</f>
        <v/>
      </c>
      <c r="H186" s="17" t="str">
        <v/>
      </c>
    </row>
    <row r="187" spans="5:8" ht="13.2">
      <c r="E187" s="17" t="str">
        <f ca="1">IFERROR(__xludf.DUMMYFUNCTION("""COMPUTED_VALUE"""),"")</f>
        <v/>
      </c>
      <c r="F187" s="17" t="str">
        <f ca="1">IFERROR(__xludf.DUMMYFUNCTION("""COMPUTED_VALUE"""),"")</f>
        <v/>
      </c>
      <c r="G187" s="17" t="str">
        <f ca="1">IFERROR(__xludf.DUMMYFUNCTION("""COMPUTED_VALUE"""),"")</f>
        <v/>
      </c>
      <c r="H187" s="17" t="str">
        <v/>
      </c>
    </row>
    <row r="188" spans="5:8" ht="13.2">
      <c r="E188" s="17" t="str">
        <f ca="1">IFERROR(__xludf.DUMMYFUNCTION("""COMPUTED_VALUE"""),"")</f>
        <v/>
      </c>
      <c r="F188" s="17" t="str">
        <f ca="1">IFERROR(__xludf.DUMMYFUNCTION("""COMPUTED_VALUE"""),"")</f>
        <v/>
      </c>
      <c r="G188" s="17" t="str">
        <f ca="1">IFERROR(__xludf.DUMMYFUNCTION("""COMPUTED_VALUE"""),"")</f>
        <v/>
      </c>
      <c r="H188" s="17" t="str">
        <v/>
      </c>
    </row>
    <row r="189" spans="5:8" ht="13.2">
      <c r="E189" s="17" t="str">
        <f ca="1">IFERROR(__xludf.DUMMYFUNCTION("""COMPUTED_VALUE"""),"")</f>
        <v/>
      </c>
      <c r="F189" s="17" t="str">
        <f ca="1">IFERROR(__xludf.DUMMYFUNCTION("""COMPUTED_VALUE"""),"")</f>
        <v/>
      </c>
      <c r="G189" s="17" t="str">
        <f ca="1">IFERROR(__xludf.DUMMYFUNCTION("""COMPUTED_VALUE"""),"")</f>
        <v/>
      </c>
      <c r="H189" s="17" t="str">
        <v/>
      </c>
    </row>
    <row r="190" spans="5:8" ht="13.2">
      <c r="E190" s="17" t="str">
        <f ca="1">IFERROR(__xludf.DUMMYFUNCTION("""COMPUTED_VALUE"""),"")</f>
        <v/>
      </c>
      <c r="F190" s="17" t="str">
        <f ca="1">IFERROR(__xludf.DUMMYFUNCTION("""COMPUTED_VALUE"""),"")</f>
        <v/>
      </c>
      <c r="G190" s="17" t="str">
        <f ca="1">IFERROR(__xludf.DUMMYFUNCTION("""COMPUTED_VALUE"""),"")</f>
        <v/>
      </c>
      <c r="H190" s="17" t="str">
        <v/>
      </c>
    </row>
    <row r="191" spans="5:8" ht="13.2">
      <c r="E191" s="17" t="str">
        <f ca="1">IFERROR(__xludf.DUMMYFUNCTION("""COMPUTED_VALUE"""),"")</f>
        <v/>
      </c>
      <c r="F191" s="17" t="str">
        <f ca="1">IFERROR(__xludf.DUMMYFUNCTION("""COMPUTED_VALUE"""),"")</f>
        <v/>
      </c>
      <c r="G191" s="17" t="str">
        <f ca="1">IFERROR(__xludf.DUMMYFUNCTION("""COMPUTED_VALUE"""),"")</f>
        <v/>
      </c>
      <c r="H191" s="17" t="str">
        <v/>
      </c>
    </row>
    <row r="192" spans="5:8" ht="13.2">
      <c r="E192" s="17" t="str">
        <f ca="1">IFERROR(__xludf.DUMMYFUNCTION("""COMPUTED_VALUE"""),"")</f>
        <v/>
      </c>
      <c r="F192" s="17" t="str">
        <f ca="1">IFERROR(__xludf.DUMMYFUNCTION("""COMPUTED_VALUE"""),"")</f>
        <v/>
      </c>
      <c r="G192" s="17" t="str">
        <f ca="1">IFERROR(__xludf.DUMMYFUNCTION("""COMPUTED_VALUE"""),"")</f>
        <v/>
      </c>
      <c r="H192" s="17" t="str">
        <v/>
      </c>
    </row>
    <row r="193" spans="5:8" ht="13.2">
      <c r="E193" s="17" t="str">
        <f ca="1">IFERROR(__xludf.DUMMYFUNCTION("""COMPUTED_VALUE"""),"")</f>
        <v/>
      </c>
      <c r="F193" s="17" t="str">
        <f ca="1">IFERROR(__xludf.DUMMYFUNCTION("""COMPUTED_VALUE"""),"")</f>
        <v/>
      </c>
      <c r="G193" s="17" t="str">
        <f ca="1">IFERROR(__xludf.DUMMYFUNCTION("""COMPUTED_VALUE"""),"")</f>
        <v/>
      </c>
      <c r="H193" s="17" t="str">
        <v/>
      </c>
    </row>
    <row r="194" spans="5:8" ht="13.2">
      <c r="E194" s="17" t="str">
        <f ca="1">IFERROR(__xludf.DUMMYFUNCTION("""COMPUTED_VALUE"""),"")</f>
        <v/>
      </c>
      <c r="F194" s="17" t="str">
        <f ca="1">IFERROR(__xludf.DUMMYFUNCTION("""COMPUTED_VALUE"""),"")</f>
        <v/>
      </c>
      <c r="G194" s="17" t="str">
        <f ca="1">IFERROR(__xludf.DUMMYFUNCTION("""COMPUTED_VALUE"""),"")</f>
        <v/>
      </c>
      <c r="H194" s="17" t="str">
        <v/>
      </c>
    </row>
    <row r="195" spans="5:8" ht="13.2">
      <c r="E195" s="17" t="str">
        <f ca="1">IFERROR(__xludf.DUMMYFUNCTION("""COMPUTED_VALUE"""),"")</f>
        <v/>
      </c>
      <c r="F195" s="17" t="str">
        <f ca="1">IFERROR(__xludf.DUMMYFUNCTION("""COMPUTED_VALUE"""),"")</f>
        <v/>
      </c>
      <c r="G195" s="17" t="str">
        <f ca="1">IFERROR(__xludf.DUMMYFUNCTION("""COMPUTED_VALUE"""),"")</f>
        <v/>
      </c>
      <c r="H195" s="17" t="str">
        <v/>
      </c>
    </row>
    <row r="196" spans="5:8" ht="13.2">
      <c r="E196" s="17" t="str">
        <f ca="1">IFERROR(__xludf.DUMMYFUNCTION("""COMPUTED_VALUE"""),"")</f>
        <v/>
      </c>
      <c r="F196" s="17" t="str">
        <f ca="1">IFERROR(__xludf.DUMMYFUNCTION("""COMPUTED_VALUE"""),"")</f>
        <v/>
      </c>
      <c r="G196" s="17" t="str">
        <f ca="1">IFERROR(__xludf.DUMMYFUNCTION("""COMPUTED_VALUE"""),"")</f>
        <v/>
      </c>
      <c r="H196" s="17" t="str">
        <v/>
      </c>
    </row>
    <row r="197" spans="5:8" ht="13.2">
      <c r="E197" s="17" t="str">
        <f ca="1">IFERROR(__xludf.DUMMYFUNCTION("""COMPUTED_VALUE"""),"")</f>
        <v/>
      </c>
      <c r="F197" s="17" t="str">
        <f ca="1">IFERROR(__xludf.DUMMYFUNCTION("""COMPUTED_VALUE"""),"")</f>
        <v/>
      </c>
      <c r="G197" s="17" t="str">
        <f ca="1">IFERROR(__xludf.DUMMYFUNCTION("""COMPUTED_VALUE"""),"")</f>
        <v/>
      </c>
      <c r="H197" s="17" t="str">
        <v/>
      </c>
    </row>
    <row r="198" spans="5:8" ht="13.2">
      <c r="E198" s="17" t="str">
        <f ca="1">IFERROR(__xludf.DUMMYFUNCTION("""COMPUTED_VALUE"""),"")</f>
        <v/>
      </c>
      <c r="F198" s="17" t="str">
        <f ca="1">IFERROR(__xludf.DUMMYFUNCTION("""COMPUTED_VALUE"""),"")</f>
        <v/>
      </c>
      <c r="G198" s="17" t="str">
        <f ca="1">IFERROR(__xludf.DUMMYFUNCTION("""COMPUTED_VALUE"""),"")</f>
        <v/>
      </c>
      <c r="H198" s="17" t="str">
        <v/>
      </c>
    </row>
    <row r="199" spans="5:8" ht="13.2">
      <c r="E199" s="17" t="str">
        <f ca="1">IFERROR(__xludf.DUMMYFUNCTION("""COMPUTED_VALUE"""),"")</f>
        <v/>
      </c>
      <c r="F199" s="17" t="str">
        <f ca="1">IFERROR(__xludf.DUMMYFUNCTION("""COMPUTED_VALUE"""),"")</f>
        <v/>
      </c>
      <c r="G199" s="17" t="str">
        <f ca="1">IFERROR(__xludf.DUMMYFUNCTION("""COMPUTED_VALUE"""),"")</f>
        <v/>
      </c>
      <c r="H199" s="17" t="str">
        <v/>
      </c>
    </row>
    <row r="200" spans="5:8" ht="13.2">
      <c r="E200" s="17" t="str">
        <f ca="1">IFERROR(__xludf.DUMMYFUNCTION("""COMPUTED_VALUE"""),"")</f>
        <v/>
      </c>
      <c r="F200" s="17" t="str">
        <f ca="1">IFERROR(__xludf.DUMMYFUNCTION("""COMPUTED_VALUE"""),"")</f>
        <v/>
      </c>
      <c r="G200" s="17" t="str">
        <f ca="1">IFERROR(__xludf.DUMMYFUNCTION("""COMPUTED_VALUE"""),"")</f>
        <v/>
      </c>
      <c r="H200" s="17" t="str">
        <v/>
      </c>
    </row>
    <row r="201" spans="5:8" ht="13.2">
      <c r="E201" s="17" t="str">
        <f ca="1">IFERROR(__xludf.DUMMYFUNCTION("""COMPUTED_VALUE"""),"")</f>
        <v/>
      </c>
      <c r="F201" s="17" t="str">
        <f ca="1">IFERROR(__xludf.DUMMYFUNCTION("""COMPUTED_VALUE"""),"")</f>
        <v/>
      </c>
      <c r="G201" s="17" t="str">
        <f ca="1">IFERROR(__xludf.DUMMYFUNCTION("""COMPUTED_VALUE"""),"")</f>
        <v/>
      </c>
      <c r="H201" s="17" t="str">
        <v/>
      </c>
    </row>
    <row r="202" spans="5:8" ht="13.2">
      <c r="E202" s="17" t="str">
        <f ca="1">IFERROR(__xludf.DUMMYFUNCTION("""COMPUTED_VALUE"""),"")</f>
        <v/>
      </c>
      <c r="F202" s="17" t="str">
        <f ca="1">IFERROR(__xludf.DUMMYFUNCTION("""COMPUTED_VALUE"""),"")</f>
        <v/>
      </c>
      <c r="G202" s="17" t="str">
        <f ca="1">IFERROR(__xludf.DUMMYFUNCTION("""COMPUTED_VALUE"""),"")</f>
        <v/>
      </c>
      <c r="H202" s="17" t="str">
        <v/>
      </c>
    </row>
    <row r="203" spans="5:8" ht="13.2">
      <c r="E203" s="17" t="str">
        <f ca="1">IFERROR(__xludf.DUMMYFUNCTION("""COMPUTED_VALUE"""),"")</f>
        <v/>
      </c>
      <c r="F203" s="17" t="str">
        <f ca="1">IFERROR(__xludf.DUMMYFUNCTION("""COMPUTED_VALUE"""),"")</f>
        <v/>
      </c>
      <c r="G203" s="17" t="str">
        <f ca="1">IFERROR(__xludf.DUMMYFUNCTION("""COMPUTED_VALUE"""),"")</f>
        <v/>
      </c>
      <c r="H203" s="17" t="str">
        <v/>
      </c>
    </row>
    <row r="204" spans="5:8" ht="13.2">
      <c r="E204" s="17" t="str">
        <f ca="1">IFERROR(__xludf.DUMMYFUNCTION("""COMPUTED_VALUE"""),"")</f>
        <v/>
      </c>
      <c r="F204" s="17" t="str">
        <f ca="1">IFERROR(__xludf.DUMMYFUNCTION("""COMPUTED_VALUE"""),"")</f>
        <v/>
      </c>
      <c r="G204" s="17" t="str">
        <f ca="1">IFERROR(__xludf.DUMMYFUNCTION("""COMPUTED_VALUE"""),"")</f>
        <v/>
      </c>
      <c r="H204" s="17" t="str">
        <v/>
      </c>
    </row>
    <row r="205" spans="5:8" ht="13.2">
      <c r="E205" s="17" t="str">
        <f ca="1">IFERROR(__xludf.DUMMYFUNCTION("""COMPUTED_VALUE"""),"")</f>
        <v/>
      </c>
      <c r="F205" s="17" t="str">
        <f ca="1">IFERROR(__xludf.DUMMYFUNCTION("""COMPUTED_VALUE"""),"")</f>
        <v/>
      </c>
      <c r="G205" s="17" t="str">
        <f ca="1">IFERROR(__xludf.DUMMYFUNCTION("""COMPUTED_VALUE"""),"")</f>
        <v/>
      </c>
      <c r="H205" s="17" t="str">
        <v/>
      </c>
    </row>
    <row r="206" spans="5:8" ht="13.2">
      <c r="E206" s="17" t="str">
        <f ca="1">IFERROR(__xludf.DUMMYFUNCTION("""COMPUTED_VALUE"""),"")</f>
        <v/>
      </c>
      <c r="F206" s="17" t="str">
        <f ca="1">IFERROR(__xludf.DUMMYFUNCTION("""COMPUTED_VALUE"""),"")</f>
        <v/>
      </c>
      <c r="G206" s="17" t="str">
        <f ca="1">IFERROR(__xludf.DUMMYFUNCTION("""COMPUTED_VALUE"""),"")</f>
        <v/>
      </c>
      <c r="H206" s="17" t="str">
        <v/>
      </c>
    </row>
    <row r="207" spans="5:8" ht="13.2">
      <c r="E207" s="17" t="str">
        <f ca="1">IFERROR(__xludf.DUMMYFUNCTION("""COMPUTED_VALUE"""),"")</f>
        <v/>
      </c>
      <c r="F207" s="17" t="str">
        <f ca="1">IFERROR(__xludf.DUMMYFUNCTION("""COMPUTED_VALUE"""),"")</f>
        <v/>
      </c>
      <c r="G207" s="17" t="str">
        <f ca="1">IFERROR(__xludf.DUMMYFUNCTION("""COMPUTED_VALUE"""),"")</f>
        <v/>
      </c>
      <c r="H207" s="17" t="str">
        <v/>
      </c>
    </row>
    <row r="208" spans="5:8" ht="13.2">
      <c r="E208" s="17" t="str">
        <f ca="1">IFERROR(__xludf.DUMMYFUNCTION("""COMPUTED_VALUE"""),"")</f>
        <v/>
      </c>
      <c r="F208" s="17" t="str">
        <f ca="1">IFERROR(__xludf.DUMMYFUNCTION("""COMPUTED_VALUE"""),"")</f>
        <v/>
      </c>
      <c r="G208" s="17" t="str">
        <f ca="1">IFERROR(__xludf.DUMMYFUNCTION("""COMPUTED_VALUE"""),"")</f>
        <v/>
      </c>
      <c r="H208" s="17" t="str">
        <v/>
      </c>
    </row>
    <row r="209" spans="5:8" ht="13.2">
      <c r="E209" s="17" t="str">
        <f ca="1">IFERROR(__xludf.DUMMYFUNCTION("""COMPUTED_VALUE"""),"")</f>
        <v/>
      </c>
      <c r="F209" s="17" t="str">
        <f ca="1">IFERROR(__xludf.DUMMYFUNCTION("""COMPUTED_VALUE"""),"")</f>
        <v/>
      </c>
      <c r="G209" s="17" t="str">
        <f ca="1">IFERROR(__xludf.DUMMYFUNCTION("""COMPUTED_VALUE"""),"")</f>
        <v/>
      </c>
      <c r="H209" s="17" t="str">
        <v/>
      </c>
    </row>
    <row r="210" spans="5:8" ht="13.2">
      <c r="E210" s="17" t="str">
        <f ca="1">IFERROR(__xludf.DUMMYFUNCTION("""COMPUTED_VALUE"""),"")</f>
        <v/>
      </c>
      <c r="F210" s="17" t="str">
        <f ca="1">IFERROR(__xludf.DUMMYFUNCTION("""COMPUTED_VALUE"""),"")</f>
        <v/>
      </c>
      <c r="G210" s="17" t="str">
        <f ca="1">IFERROR(__xludf.DUMMYFUNCTION("""COMPUTED_VALUE"""),"")</f>
        <v/>
      </c>
      <c r="H210" s="17" t="str">
        <v/>
      </c>
    </row>
    <row r="211" spans="5:8" ht="13.2">
      <c r="E211" s="17" t="str">
        <f ca="1">IFERROR(__xludf.DUMMYFUNCTION("""COMPUTED_VALUE"""),"")</f>
        <v/>
      </c>
      <c r="F211" s="17" t="str">
        <f ca="1">IFERROR(__xludf.DUMMYFUNCTION("""COMPUTED_VALUE"""),"")</f>
        <v/>
      </c>
      <c r="G211" s="17" t="str">
        <f ca="1">IFERROR(__xludf.DUMMYFUNCTION("""COMPUTED_VALUE"""),"")</f>
        <v/>
      </c>
      <c r="H211" s="17" t="str">
        <v/>
      </c>
    </row>
    <row r="212" spans="5:8" ht="13.2">
      <c r="E212" s="17" t="str">
        <f ca="1">IFERROR(__xludf.DUMMYFUNCTION("""COMPUTED_VALUE"""),"")</f>
        <v/>
      </c>
      <c r="F212" s="17" t="str">
        <f ca="1">IFERROR(__xludf.DUMMYFUNCTION("""COMPUTED_VALUE"""),"")</f>
        <v/>
      </c>
      <c r="G212" s="17" t="str">
        <f ca="1">IFERROR(__xludf.DUMMYFUNCTION("""COMPUTED_VALUE"""),"")</f>
        <v/>
      </c>
      <c r="H212" s="17" t="str">
        <v/>
      </c>
    </row>
    <row r="213" spans="5:8" ht="13.2">
      <c r="E213" s="17" t="str">
        <f ca="1">IFERROR(__xludf.DUMMYFUNCTION("""COMPUTED_VALUE"""),"")</f>
        <v/>
      </c>
      <c r="F213" s="17" t="str">
        <f ca="1">IFERROR(__xludf.DUMMYFUNCTION("""COMPUTED_VALUE"""),"")</f>
        <v/>
      </c>
      <c r="G213" s="17" t="str">
        <f ca="1">IFERROR(__xludf.DUMMYFUNCTION("""COMPUTED_VALUE"""),"")</f>
        <v/>
      </c>
      <c r="H213" s="17" t="str">
        <v/>
      </c>
    </row>
    <row r="214" spans="5:8" ht="13.2">
      <c r="E214" s="17" t="str">
        <f ca="1">IFERROR(__xludf.DUMMYFUNCTION("""COMPUTED_VALUE"""),"")</f>
        <v/>
      </c>
      <c r="F214" s="17" t="str">
        <f ca="1">IFERROR(__xludf.DUMMYFUNCTION("""COMPUTED_VALUE"""),"")</f>
        <v/>
      </c>
      <c r="G214" s="17" t="str">
        <f ca="1">IFERROR(__xludf.DUMMYFUNCTION("""COMPUTED_VALUE"""),"")</f>
        <v/>
      </c>
      <c r="H214" s="17" t="str">
        <v/>
      </c>
    </row>
    <row r="215" spans="5:8" ht="13.2">
      <c r="E215" s="17" t="str">
        <f ca="1">IFERROR(__xludf.DUMMYFUNCTION("""COMPUTED_VALUE"""),"")</f>
        <v/>
      </c>
      <c r="F215" s="17" t="str">
        <f ca="1">IFERROR(__xludf.DUMMYFUNCTION("""COMPUTED_VALUE"""),"")</f>
        <v/>
      </c>
      <c r="G215" s="17" t="str">
        <f ca="1">IFERROR(__xludf.DUMMYFUNCTION("""COMPUTED_VALUE"""),"")</f>
        <v/>
      </c>
      <c r="H215" s="17" t="str">
        <v/>
      </c>
    </row>
    <row r="216" spans="5:8" ht="13.2">
      <c r="E216" s="17" t="str">
        <f ca="1">IFERROR(__xludf.DUMMYFUNCTION("""COMPUTED_VALUE"""),"")</f>
        <v/>
      </c>
      <c r="F216" s="17" t="str">
        <f ca="1">IFERROR(__xludf.DUMMYFUNCTION("""COMPUTED_VALUE"""),"")</f>
        <v/>
      </c>
      <c r="G216" s="17" t="str">
        <f ca="1">IFERROR(__xludf.DUMMYFUNCTION("""COMPUTED_VALUE"""),"")</f>
        <v/>
      </c>
      <c r="H216" s="17" t="str">
        <v/>
      </c>
    </row>
    <row r="217" spans="5:8" ht="13.2">
      <c r="E217" s="17" t="str">
        <f ca="1">IFERROR(__xludf.DUMMYFUNCTION("""COMPUTED_VALUE"""),"")</f>
        <v/>
      </c>
      <c r="F217" s="17" t="str">
        <f ca="1">IFERROR(__xludf.DUMMYFUNCTION("""COMPUTED_VALUE"""),"")</f>
        <v/>
      </c>
      <c r="G217" s="17" t="str">
        <f ca="1">IFERROR(__xludf.DUMMYFUNCTION("""COMPUTED_VALUE"""),"")</f>
        <v/>
      </c>
      <c r="H217" s="17" t="str">
        <v/>
      </c>
    </row>
    <row r="218" spans="5:8" ht="13.2">
      <c r="E218" s="17" t="str">
        <f ca="1">IFERROR(__xludf.DUMMYFUNCTION("""COMPUTED_VALUE"""),"")</f>
        <v/>
      </c>
      <c r="F218" s="17" t="str">
        <f ca="1">IFERROR(__xludf.DUMMYFUNCTION("""COMPUTED_VALUE"""),"")</f>
        <v/>
      </c>
      <c r="G218" s="17" t="str">
        <f ca="1">IFERROR(__xludf.DUMMYFUNCTION("""COMPUTED_VALUE"""),"")</f>
        <v/>
      </c>
      <c r="H218" s="17" t="str">
        <v/>
      </c>
    </row>
    <row r="219" spans="5:8" ht="13.2">
      <c r="E219" s="17" t="str">
        <f ca="1">IFERROR(__xludf.DUMMYFUNCTION("""COMPUTED_VALUE"""),"")</f>
        <v/>
      </c>
      <c r="F219" s="17" t="str">
        <f ca="1">IFERROR(__xludf.DUMMYFUNCTION("""COMPUTED_VALUE"""),"")</f>
        <v/>
      </c>
      <c r="G219" s="17" t="str">
        <f ca="1">IFERROR(__xludf.DUMMYFUNCTION("""COMPUTED_VALUE"""),"")</f>
        <v/>
      </c>
      <c r="H219" s="17" t="str">
        <v/>
      </c>
    </row>
    <row r="220" spans="5:8" ht="13.2">
      <c r="E220" s="17" t="str">
        <f ca="1">IFERROR(__xludf.DUMMYFUNCTION("""COMPUTED_VALUE"""),"")</f>
        <v/>
      </c>
      <c r="F220" s="17" t="str">
        <f ca="1">IFERROR(__xludf.DUMMYFUNCTION("""COMPUTED_VALUE"""),"")</f>
        <v/>
      </c>
      <c r="G220" s="17" t="str">
        <f ca="1">IFERROR(__xludf.DUMMYFUNCTION("""COMPUTED_VALUE"""),"")</f>
        <v/>
      </c>
      <c r="H220" s="17" t="str">
        <v/>
      </c>
    </row>
    <row r="221" spans="5:8" ht="13.2">
      <c r="E221" s="17" t="str">
        <f ca="1">IFERROR(__xludf.DUMMYFUNCTION("""COMPUTED_VALUE"""),"")</f>
        <v/>
      </c>
      <c r="F221" s="17" t="str">
        <f ca="1">IFERROR(__xludf.DUMMYFUNCTION("""COMPUTED_VALUE"""),"")</f>
        <v/>
      </c>
      <c r="G221" s="17" t="str">
        <f ca="1">IFERROR(__xludf.DUMMYFUNCTION("""COMPUTED_VALUE"""),"")</f>
        <v/>
      </c>
      <c r="H221" s="17" t="str">
        <v/>
      </c>
    </row>
    <row r="222" spans="5:8" ht="13.2">
      <c r="E222" s="17" t="str">
        <f ca="1">IFERROR(__xludf.DUMMYFUNCTION("""COMPUTED_VALUE"""),"")</f>
        <v/>
      </c>
      <c r="F222" s="17" t="str">
        <f ca="1">IFERROR(__xludf.DUMMYFUNCTION("""COMPUTED_VALUE"""),"")</f>
        <v/>
      </c>
      <c r="G222" s="17" t="str">
        <f ca="1">IFERROR(__xludf.DUMMYFUNCTION("""COMPUTED_VALUE"""),"")</f>
        <v/>
      </c>
      <c r="H222" s="17" t="str">
        <v/>
      </c>
    </row>
    <row r="223" spans="5:8" ht="13.2">
      <c r="E223" s="17" t="str">
        <f ca="1">IFERROR(__xludf.DUMMYFUNCTION("""COMPUTED_VALUE"""),"")</f>
        <v/>
      </c>
      <c r="F223" s="17" t="str">
        <f ca="1">IFERROR(__xludf.DUMMYFUNCTION("""COMPUTED_VALUE"""),"")</f>
        <v/>
      </c>
      <c r="G223" s="17" t="str">
        <f ca="1">IFERROR(__xludf.DUMMYFUNCTION("""COMPUTED_VALUE"""),"")</f>
        <v/>
      </c>
      <c r="H223" s="17" t="str">
        <v/>
      </c>
    </row>
    <row r="224" spans="5:8" ht="13.2">
      <c r="E224" s="17" t="str">
        <f ca="1">IFERROR(__xludf.DUMMYFUNCTION("""COMPUTED_VALUE"""),"")</f>
        <v/>
      </c>
      <c r="F224" s="17" t="str">
        <f ca="1">IFERROR(__xludf.DUMMYFUNCTION("""COMPUTED_VALUE"""),"")</f>
        <v/>
      </c>
      <c r="G224" s="17" t="str">
        <f ca="1">IFERROR(__xludf.DUMMYFUNCTION("""COMPUTED_VALUE"""),"")</f>
        <v/>
      </c>
      <c r="H224" s="17" t="str">
        <v/>
      </c>
    </row>
    <row r="225" spans="5:8" ht="13.2">
      <c r="E225" s="17" t="str">
        <f ca="1">IFERROR(__xludf.DUMMYFUNCTION("""COMPUTED_VALUE"""),"")</f>
        <v/>
      </c>
      <c r="F225" s="17" t="str">
        <f ca="1">IFERROR(__xludf.DUMMYFUNCTION("""COMPUTED_VALUE"""),"")</f>
        <v/>
      </c>
      <c r="G225" s="17" t="str">
        <f ca="1">IFERROR(__xludf.DUMMYFUNCTION("""COMPUTED_VALUE"""),"")</f>
        <v/>
      </c>
      <c r="H225" s="17" t="str">
        <v/>
      </c>
    </row>
    <row r="226" spans="5:8" ht="13.2">
      <c r="E226" s="17" t="str">
        <f ca="1">IFERROR(__xludf.DUMMYFUNCTION("""COMPUTED_VALUE"""),"")</f>
        <v/>
      </c>
      <c r="F226" s="17" t="str">
        <f ca="1">IFERROR(__xludf.DUMMYFUNCTION("""COMPUTED_VALUE"""),"")</f>
        <v/>
      </c>
      <c r="G226" s="17" t="str">
        <f ca="1">IFERROR(__xludf.DUMMYFUNCTION("""COMPUTED_VALUE"""),"")</f>
        <v/>
      </c>
      <c r="H226" s="17" t="str">
        <v/>
      </c>
    </row>
    <row r="227" spans="5:8" ht="13.2">
      <c r="E227" s="17" t="str">
        <f ca="1">IFERROR(__xludf.DUMMYFUNCTION("""COMPUTED_VALUE"""),"")</f>
        <v/>
      </c>
      <c r="F227" s="17" t="str">
        <f ca="1">IFERROR(__xludf.DUMMYFUNCTION("""COMPUTED_VALUE"""),"")</f>
        <v/>
      </c>
      <c r="G227" s="17" t="str">
        <f ca="1">IFERROR(__xludf.DUMMYFUNCTION("""COMPUTED_VALUE"""),"")</f>
        <v/>
      </c>
      <c r="H227" s="17" t="str">
        <v/>
      </c>
    </row>
    <row r="228" spans="5:8" ht="13.2">
      <c r="E228" s="17" t="str">
        <f ca="1">IFERROR(__xludf.DUMMYFUNCTION("""COMPUTED_VALUE"""),"")</f>
        <v/>
      </c>
      <c r="F228" s="17" t="str">
        <f ca="1">IFERROR(__xludf.DUMMYFUNCTION("""COMPUTED_VALUE"""),"")</f>
        <v/>
      </c>
      <c r="G228" s="17" t="str">
        <f ca="1">IFERROR(__xludf.DUMMYFUNCTION("""COMPUTED_VALUE"""),"")</f>
        <v/>
      </c>
      <c r="H228" s="17" t="str">
        <v/>
      </c>
    </row>
    <row r="229" spans="5:8" ht="13.2">
      <c r="E229" s="17" t="str">
        <f ca="1">IFERROR(__xludf.DUMMYFUNCTION("""COMPUTED_VALUE"""),"")</f>
        <v/>
      </c>
      <c r="F229" s="17" t="str">
        <f ca="1">IFERROR(__xludf.DUMMYFUNCTION("""COMPUTED_VALUE"""),"")</f>
        <v/>
      </c>
      <c r="G229" s="17" t="str">
        <f ca="1">IFERROR(__xludf.DUMMYFUNCTION("""COMPUTED_VALUE"""),"")</f>
        <v/>
      </c>
      <c r="H229" s="17" t="str">
        <v/>
      </c>
    </row>
    <row r="230" spans="5:8" ht="13.2">
      <c r="E230" s="17" t="str">
        <f ca="1">IFERROR(__xludf.DUMMYFUNCTION("""COMPUTED_VALUE"""),"")</f>
        <v/>
      </c>
      <c r="F230" s="17" t="str">
        <f ca="1">IFERROR(__xludf.DUMMYFUNCTION("""COMPUTED_VALUE"""),"")</f>
        <v/>
      </c>
      <c r="G230" s="17" t="str">
        <f ca="1">IFERROR(__xludf.DUMMYFUNCTION("""COMPUTED_VALUE"""),"")</f>
        <v/>
      </c>
      <c r="H230" s="17" t="str">
        <v/>
      </c>
    </row>
    <row r="231" spans="5:8" ht="13.2">
      <c r="E231" s="17" t="str">
        <f ca="1">IFERROR(__xludf.DUMMYFUNCTION("""COMPUTED_VALUE"""),"")</f>
        <v/>
      </c>
      <c r="F231" s="17" t="str">
        <f ca="1">IFERROR(__xludf.DUMMYFUNCTION("""COMPUTED_VALUE"""),"")</f>
        <v/>
      </c>
      <c r="G231" s="17" t="str">
        <f ca="1">IFERROR(__xludf.DUMMYFUNCTION("""COMPUTED_VALUE"""),"")</f>
        <v/>
      </c>
      <c r="H231" s="17" t="str">
        <v/>
      </c>
    </row>
    <row r="232" spans="5:8" ht="13.2">
      <c r="E232" s="17" t="str">
        <f ca="1">IFERROR(__xludf.DUMMYFUNCTION("""COMPUTED_VALUE"""),"")</f>
        <v/>
      </c>
      <c r="F232" s="17" t="str">
        <f ca="1">IFERROR(__xludf.DUMMYFUNCTION("""COMPUTED_VALUE"""),"")</f>
        <v/>
      </c>
      <c r="G232" s="17" t="str">
        <f ca="1">IFERROR(__xludf.DUMMYFUNCTION("""COMPUTED_VALUE"""),"")</f>
        <v/>
      </c>
      <c r="H232" s="17" t="str">
        <v/>
      </c>
    </row>
    <row r="233" spans="5:8" ht="13.2">
      <c r="E233" s="17" t="str">
        <f ca="1">IFERROR(__xludf.DUMMYFUNCTION("""COMPUTED_VALUE"""),"")</f>
        <v/>
      </c>
      <c r="F233" s="17" t="str">
        <f ca="1">IFERROR(__xludf.DUMMYFUNCTION("""COMPUTED_VALUE"""),"")</f>
        <v/>
      </c>
      <c r="G233" s="17" t="str">
        <f ca="1">IFERROR(__xludf.DUMMYFUNCTION("""COMPUTED_VALUE"""),"")</f>
        <v/>
      </c>
      <c r="H233" s="17" t="str">
        <v/>
      </c>
    </row>
    <row r="234" spans="5:8" ht="13.2">
      <c r="E234" s="17" t="str">
        <f ca="1">IFERROR(__xludf.DUMMYFUNCTION("""COMPUTED_VALUE"""),"")</f>
        <v/>
      </c>
      <c r="F234" s="17" t="str">
        <f ca="1">IFERROR(__xludf.DUMMYFUNCTION("""COMPUTED_VALUE"""),"")</f>
        <v/>
      </c>
      <c r="G234" s="17" t="str">
        <f ca="1">IFERROR(__xludf.DUMMYFUNCTION("""COMPUTED_VALUE"""),"")</f>
        <v/>
      </c>
      <c r="H234" s="17" t="str">
        <v/>
      </c>
    </row>
    <row r="235" spans="5:8" ht="13.2">
      <c r="E235" s="17" t="str">
        <f ca="1">IFERROR(__xludf.DUMMYFUNCTION("""COMPUTED_VALUE"""),"")</f>
        <v/>
      </c>
      <c r="F235" s="17" t="str">
        <f ca="1">IFERROR(__xludf.DUMMYFUNCTION("""COMPUTED_VALUE"""),"")</f>
        <v/>
      </c>
      <c r="G235" s="17" t="str">
        <f ca="1">IFERROR(__xludf.DUMMYFUNCTION("""COMPUTED_VALUE"""),"")</f>
        <v/>
      </c>
      <c r="H235" s="17" t="str">
        <v/>
      </c>
    </row>
    <row r="236" spans="5:8" ht="13.2">
      <c r="E236" s="17" t="str">
        <f ca="1">IFERROR(__xludf.DUMMYFUNCTION("""COMPUTED_VALUE"""),"")</f>
        <v/>
      </c>
      <c r="F236" s="17" t="str">
        <f ca="1">IFERROR(__xludf.DUMMYFUNCTION("""COMPUTED_VALUE"""),"")</f>
        <v/>
      </c>
      <c r="G236" s="17" t="str">
        <f ca="1">IFERROR(__xludf.DUMMYFUNCTION("""COMPUTED_VALUE"""),"")</f>
        <v/>
      </c>
      <c r="H236" s="17" t="str">
        <v/>
      </c>
    </row>
    <row r="237" spans="5:8" ht="13.2">
      <c r="E237" s="17" t="str">
        <f ca="1">IFERROR(__xludf.DUMMYFUNCTION("""COMPUTED_VALUE"""),"")</f>
        <v/>
      </c>
      <c r="F237" s="17" t="str">
        <f ca="1">IFERROR(__xludf.DUMMYFUNCTION("""COMPUTED_VALUE"""),"")</f>
        <v/>
      </c>
      <c r="G237" s="17" t="str">
        <f ca="1">IFERROR(__xludf.DUMMYFUNCTION("""COMPUTED_VALUE"""),"")</f>
        <v/>
      </c>
      <c r="H237" s="17" t="str">
        <v/>
      </c>
    </row>
    <row r="238" spans="5:8" ht="13.2">
      <c r="E238" s="17" t="str">
        <f ca="1">IFERROR(__xludf.DUMMYFUNCTION("""COMPUTED_VALUE"""),"")</f>
        <v/>
      </c>
      <c r="F238" s="17" t="str">
        <f ca="1">IFERROR(__xludf.DUMMYFUNCTION("""COMPUTED_VALUE"""),"")</f>
        <v/>
      </c>
      <c r="G238" s="17" t="str">
        <f ca="1">IFERROR(__xludf.DUMMYFUNCTION("""COMPUTED_VALUE"""),"")</f>
        <v/>
      </c>
      <c r="H238" s="17" t="str">
        <v/>
      </c>
    </row>
    <row r="239" spans="5:8" ht="13.2">
      <c r="E239" s="17" t="str">
        <f ca="1">IFERROR(__xludf.DUMMYFUNCTION("""COMPUTED_VALUE"""),"")</f>
        <v/>
      </c>
      <c r="F239" s="17" t="str">
        <f ca="1">IFERROR(__xludf.DUMMYFUNCTION("""COMPUTED_VALUE"""),"")</f>
        <v/>
      </c>
      <c r="G239" s="17" t="str">
        <f ca="1">IFERROR(__xludf.DUMMYFUNCTION("""COMPUTED_VALUE"""),"")</f>
        <v/>
      </c>
      <c r="H239" s="17" t="str">
        <v/>
      </c>
    </row>
    <row r="240" spans="5:8" ht="13.2">
      <c r="E240" s="17" t="str">
        <f ca="1">IFERROR(__xludf.DUMMYFUNCTION("""COMPUTED_VALUE"""),"")</f>
        <v/>
      </c>
      <c r="F240" s="17" t="str">
        <f ca="1">IFERROR(__xludf.DUMMYFUNCTION("""COMPUTED_VALUE"""),"")</f>
        <v/>
      </c>
      <c r="G240" s="17" t="str">
        <f ca="1">IFERROR(__xludf.DUMMYFUNCTION("""COMPUTED_VALUE"""),"")</f>
        <v/>
      </c>
      <c r="H240" s="17" t="str">
        <v/>
      </c>
    </row>
    <row r="241" spans="5:8" ht="13.2">
      <c r="E241" s="17" t="str">
        <f ca="1">IFERROR(__xludf.DUMMYFUNCTION("""COMPUTED_VALUE"""),"")</f>
        <v/>
      </c>
      <c r="F241" s="17" t="str">
        <f ca="1">IFERROR(__xludf.DUMMYFUNCTION("""COMPUTED_VALUE"""),"")</f>
        <v/>
      </c>
      <c r="G241" s="17" t="str">
        <f ca="1">IFERROR(__xludf.DUMMYFUNCTION("""COMPUTED_VALUE"""),"")</f>
        <v/>
      </c>
      <c r="H241" s="17" t="str">
        <v/>
      </c>
    </row>
    <row r="242" spans="5:8" ht="13.2">
      <c r="E242" s="17" t="str">
        <f ca="1">IFERROR(__xludf.DUMMYFUNCTION("""COMPUTED_VALUE"""),"")</f>
        <v/>
      </c>
      <c r="F242" s="17" t="str">
        <f ca="1">IFERROR(__xludf.DUMMYFUNCTION("""COMPUTED_VALUE"""),"")</f>
        <v/>
      </c>
      <c r="G242" s="17" t="str">
        <f ca="1">IFERROR(__xludf.DUMMYFUNCTION("""COMPUTED_VALUE"""),"")</f>
        <v/>
      </c>
      <c r="H242" s="17" t="str">
        <v/>
      </c>
    </row>
    <row r="243" spans="5:8" ht="13.2">
      <c r="E243" s="17" t="str">
        <f ca="1">IFERROR(__xludf.DUMMYFUNCTION("""COMPUTED_VALUE"""),"")</f>
        <v/>
      </c>
      <c r="F243" s="17" t="str">
        <f ca="1">IFERROR(__xludf.DUMMYFUNCTION("""COMPUTED_VALUE"""),"")</f>
        <v/>
      </c>
      <c r="G243" s="17" t="str">
        <f ca="1">IFERROR(__xludf.DUMMYFUNCTION("""COMPUTED_VALUE"""),"")</f>
        <v/>
      </c>
      <c r="H243" s="17" t="str">
        <v/>
      </c>
    </row>
    <row r="244" spans="5:8" ht="13.2">
      <c r="E244" s="17" t="str">
        <f ca="1">IFERROR(__xludf.DUMMYFUNCTION("""COMPUTED_VALUE"""),"")</f>
        <v/>
      </c>
      <c r="F244" s="17" t="str">
        <f ca="1">IFERROR(__xludf.DUMMYFUNCTION("""COMPUTED_VALUE"""),"")</f>
        <v/>
      </c>
      <c r="G244" s="17" t="str">
        <f ca="1">IFERROR(__xludf.DUMMYFUNCTION("""COMPUTED_VALUE"""),"")</f>
        <v/>
      </c>
      <c r="H244" s="17" t="str">
        <v/>
      </c>
    </row>
    <row r="245" spans="5:8" ht="13.2">
      <c r="E245" s="17" t="str">
        <f ca="1">IFERROR(__xludf.DUMMYFUNCTION("""COMPUTED_VALUE"""),"")</f>
        <v/>
      </c>
      <c r="F245" s="17" t="str">
        <f ca="1">IFERROR(__xludf.DUMMYFUNCTION("""COMPUTED_VALUE"""),"")</f>
        <v/>
      </c>
      <c r="G245" s="17" t="str">
        <f ca="1">IFERROR(__xludf.DUMMYFUNCTION("""COMPUTED_VALUE"""),"")</f>
        <v/>
      </c>
      <c r="H245" s="17" t="str">
        <v/>
      </c>
    </row>
    <row r="246" spans="5:8" ht="13.2">
      <c r="E246" s="17" t="str">
        <f ca="1">IFERROR(__xludf.DUMMYFUNCTION("""COMPUTED_VALUE"""),"")</f>
        <v/>
      </c>
      <c r="F246" s="17" t="str">
        <f ca="1">IFERROR(__xludf.DUMMYFUNCTION("""COMPUTED_VALUE"""),"")</f>
        <v/>
      </c>
      <c r="G246" s="17" t="str">
        <f ca="1">IFERROR(__xludf.DUMMYFUNCTION("""COMPUTED_VALUE"""),"")</f>
        <v/>
      </c>
      <c r="H246" s="17" t="str">
        <v/>
      </c>
    </row>
    <row r="247" spans="5:8" ht="13.2">
      <c r="E247" s="17" t="str">
        <f ca="1">IFERROR(__xludf.DUMMYFUNCTION("""COMPUTED_VALUE"""),"")</f>
        <v/>
      </c>
      <c r="F247" s="17" t="str">
        <f ca="1">IFERROR(__xludf.DUMMYFUNCTION("""COMPUTED_VALUE"""),"")</f>
        <v/>
      </c>
      <c r="G247" s="17" t="str">
        <f ca="1">IFERROR(__xludf.DUMMYFUNCTION("""COMPUTED_VALUE"""),"")</f>
        <v/>
      </c>
      <c r="H247" s="17" t="str">
        <v/>
      </c>
    </row>
    <row r="248" spans="5:8" ht="13.2">
      <c r="E248" s="17" t="str">
        <f ca="1">IFERROR(__xludf.DUMMYFUNCTION("""COMPUTED_VALUE"""),"")</f>
        <v/>
      </c>
      <c r="F248" s="17" t="str">
        <f ca="1">IFERROR(__xludf.DUMMYFUNCTION("""COMPUTED_VALUE"""),"")</f>
        <v/>
      </c>
      <c r="G248" s="17" t="str">
        <f ca="1">IFERROR(__xludf.DUMMYFUNCTION("""COMPUTED_VALUE"""),"")</f>
        <v/>
      </c>
      <c r="H248" s="17" t="str">
        <v/>
      </c>
    </row>
    <row r="249" spans="5:8" ht="13.2">
      <c r="E249" s="17" t="str">
        <f ca="1">IFERROR(__xludf.DUMMYFUNCTION("""COMPUTED_VALUE"""),"")</f>
        <v/>
      </c>
      <c r="F249" s="17" t="str">
        <f ca="1">IFERROR(__xludf.DUMMYFUNCTION("""COMPUTED_VALUE"""),"")</f>
        <v/>
      </c>
      <c r="G249" s="17" t="str">
        <f ca="1">IFERROR(__xludf.DUMMYFUNCTION("""COMPUTED_VALUE"""),"")</f>
        <v/>
      </c>
      <c r="H249" s="17" t="str">
        <v/>
      </c>
    </row>
    <row r="250" spans="5:8" ht="13.2">
      <c r="E250" s="17" t="str">
        <f ca="1">IFERROR(__xludf.DUMMYFUNCTION("""COMPUTED_VALUE"""),"")</f>
        <v/>
      </c>
      <c r="F250" s="17" t="str">
        <f ca="1">IFERROR(__xludf.DUMMYFUNCTION("""COMPUTED_VALUE"""),"")</f>
        <v/>
      </c>
      <c r="G250" s="17" t="str">
        <f ca="1">IFERROR(__xludf.DUMMYFUNCTION("""COMPUTED_VALUE"""),"")</f>
        <v/>
      </c>
      <c r="H250" s="17" t="str">
        <v/>
      </c>
    </row>
    <row r="251" spans="5:8" ht="13.2">
      <c r="E251" s="17" t="str">
        <f ca="1">IFERROR(__xludf.DUMMYFUNCTION("""COMPUTED_VALUE"""),"")</f>
        <v/>
      </c>
      <c r="F251" s="17" t="str">
        <f ca="1">IFERROR(__xludf.DUMMYFUNCTION("""COMPUTED_VALUE"""),"")</f>
        <v/>
      </c>
      <c r="G251" s="17" t="str">
        <f ca="1">IFERROR(__xludf.DUMMYFUNCTION("""COMPUTED_VALUE"""),"")</f>
        <v/>
      </c>
      <c r="H251" s="17" t="str">
        <v/>
      </c>
    </row>
    <row r="252" spans="5:8" ht="13.2">
      <c r="E252" s="17" t="str">
        <f ca="1">IFERROR(__xludf.DUMMYFUNCTION("""COMPUTED_VALUE"""),"")</f>
        <v/>
      </c>
      <c r="F252" s="17" t="str">
        <f ca="1">IFERROR(__xludf.DUMMYFUNCTION("""COMPUTED_VALUE"""),"")</f>
        <v/>
      </c>
      <c r="G252" s="17" t="str">
        <f ca="1">IFERROR(__xludf.DUMMYFUNCTION("""COMPUTED_VALUE"""),"")</f>
        <v/>
      </c>
      <c r="H252" s="17" t="str">
        <v/>
      </c>
    </row>
    <row r="253" spans="5:8" ht="13.2">
      <c r="E253" s="17" t="str">
        <f ca="1">IFERROR(__xludf.DUMMYFUNCTION("""COMPUTED_VALUE"""),"")</f>
        <v/>
      </c>
      <c r="F253" s="17" t="str">
        <f ca="1">IFERROR(__xludf.DUMMYFUNCTION("""COMPUTED_VALUE"""),"")</f>
        <v/>
      </c>
      <c r="G253" s="17" t="str">
        <f ca="1">IFERROR(__xludf.DUMMYFUNCTION("""COMPUTED_VALUE"""),"")</f>
        <v/>
      </c>
      <c r="H253" s="17" t="str">
        <v/>
      </c>
    </row>
    <row r="254" spans="5:8" ht="13.2">
      <c r="E254" s="17" t="str">
        <f ca="1">IFERROR(__xludf.DUMMYFUNCTION("""COMPUTED_VALUE"""),"")</f>
        <v/>
      </c>
      <c r="F254" s="17" t="str">
        <f ca="1">IFERROR(__xludf.DUMMYFUNCTION("""COMPUTED_VALUE"""),"")</f>
        <v/>
      </c>
      <c r="G254" s="17" t="str">
        <f ca="1">IFERROR(__xludf.DUMMYFUNCTION("""COMPUTED_VALUE"""),"")</f>
        <v/>
      </c>
      <c r="H254" s="17" t="str">
        <v/>
      </c>
    </row>
    <row r="255" spans="5:8" ht="13.2">
      <c r="E255" s="17" t="str">
        <f ca="1">IFERROR(__xludf.DUMMYFUNCTION("""COMPUTED_VALUE"""),"")</f>
        <v/>
      </c>
      <c r="F255" s="17" t="str">
        <f ca="1">IFERROR(__xludf.DUMMYFUNCTION("""COMPUTED_VALUE"""),"")</f>
        <v/>
      </c>
      <c r="G255" s="17" t="str">
        <f ca="1">IFERROR(__xludf.DUMMYFUNCTION("""COMPUTED_VALUE"""),"")</f>
        <v/>
      </c>
      <c r="H255" s="17" t="str">
        <v/>
      </c>
    </row>
    <row r="256" spans="5:8" ht="13.2">
      <c r="E256" s="17" t="str">
        <f ca="1">IFERROR(__xludf.DUMMYFUNCTION("""COMPUTED_VALUE"""),"")</f>
        <v/>
      </c>
      <c r="F256" s="17" t="str">
        <f ca="1">IFERROR(__xludf.DUMMYFUNCTION("""COMPUTED_VALUE"""),"")</f>
        <v/>
      </c>
      <c r="G256" s="17" t="str">
        <f ca="1">IFERROR(__xludf.DUMMYFUNCTION("""COMPUTED_VALUE"""),"")</f>
        <v/>
      </c>
      <c r="H256" s="17" t="str">
        <v/>
      </c>
    </row>
    <row r="257" spans="5:8" ht="13.2">
      <c r="E257" s="17" t="str">
        <f ca="1">IFERROR(__xludf.DUMMYFUNCTION("""COMPUTED_VALUE"""),"")</f>
        <v/>
      </c>
      <c r="F257" s="17" t="str">
        <f ca="1">IFERROR(__xludf.DUMMYFUNCTION("""COMPUTED_VALUE"""),"")</f>
        <v/>
      </c>
      <c r="G257" s="17" t="str">
        <f ca="1">IFERROR(__xludf.DUMMYFUNCTION("""COMPUTED_VALUE"""),"")</f>
        <v/>
      </c>
      <c r="H257" s="17" t="str">
        <v/>
      </c>
    </row>
    <row r="258" spans="5:8" ht="13.2">
      <c r="E258" s="17" t="str">
        <f ca="1">IFERROR(__xludf.DUMMYFUNCTION("""COMPUTED_VALUE"""),"")</f>
        <v/>
      </c>
      <c r="F258" s="17" t="str">
        <f ca="1">IFERROR(__xludf.DUMMYFUNCTION("""COMPUTED_VALUE"""),"")</f>
        <v/>
      </c>
      <c r="G258" s="17" t="str">
        <f ca="1">IFERROR(__xludf.DUMMYFUNCTION("""COMPUTED_VALUE"""),"")</f>
        <v/>
      </c>
      <c r="H258" s="17" t="str">
        <v/>
      </c>
    </row>
    <row r="259" spans="5:8" ht="13.2">
      <c r="E259" s="17" t="str">
        <f ca="1">IFERROR(__xludf.DUMMYFUNCTION("""COMPUTED_VALUE"""),"")</f>
        <v/>
      </c>
      <c r="F259" s="17" t="str">
        <f ca="1">IFERROR(__xludf.DUMMYFUNCTION("""COMPUTED_VALUE"""),"")</f>
        <v/>
      </c>
      <c r="G259" s="17" t="str">
        <f ca="1">IFERROR(__xludf.DUMMYFUNCTION("""COMPUTED_VALUE"""),"")</f>
        <v/>
      </c>
      <c r="H259" s="17" t="str">
        <v/>
      </c>
    </row>
    <row r="260" spans="5:8" ht="13.2">
      <c r="E260" s="17" t="str">
        <f ca="1">IFERROR(__xludf.DUMMYFUNCTION("""COMPUTED_VALUE"""),"")</f>
        <v/>
      </c>
      <c r="F260" s="17" t="str">
        <f ca="1">IFERROR(__xludf.DUMMYFUNCTION("""COMPUTED_VALUE"""),"")</f>
        <v/>
      </c>
      <c r="G260" s="17" t="str">
        <f ca="1">IFERROR(__xludf.DUMMYFUNCTION("""COMPUTED_VALUE"""),"")</f>
        <v/>
      </c>
      <c r="H260" s="17" t="str">
        <v/>
      </c>
    </row>
    <row r="261" spans="5:8" ht="13.2">
      <c r="E261" s="17" t="str">
        <f ca="1">IFERROR(__xludf.DUMMYFUNCTION("""COMPUTED_VALUE"""),"")</f>
        <v/>
      </c>
      <c r="F261" s="17" t="str">
        <f ca="1">IFERROR(__xludf.DUMMYFUNCTION("""COMPUTED_VALUE"""),"")</f>
        <v/>
      </c>
      <c r="G261" s="17" t="str">
        <f ca="1">IFERROR(__xludf.DUMMYFUNCTION("""COMPUTED_VALUE"""),"")</f>
        <v/>
      </c>
      <c r="H261" s="17" t="str">
        <v/>
      </c>
    </row>
    <row r="262" spans="5:8" ht="13.2">
      <c r="E262" s="17" t="str">
        <f ca="1">IFERROR(__xludf.DUMMYFUNCTION("""COMPUTED_VALUE"""),"")</f>
        <v/>
      </c>
      <c r="F262" s="17" t="str">
        <f ca="1">IFERROR(__xludf.DUMMYFUNCTION("""COMPUTED_VALUE"""),"")</f>
        <v/>
      </c>
      <c r="G262" s="17" t="str">
        <f ca="1">IFERROR(__xludf.DUMMYFUNCTION("""COMPUTED_VALUE"""),"")</f>
        <v/>
      </c>
      <c r="H262" s="17" t="str">
        <v/>
      </c>
    </row>
    <row r="263" spans="5:8" ht="13.2">
      <c r="E263" s="17" t="str">
        <f ca="1">IFERROR(__xludf.DUMMYFUNCTION("""COMPUTED_VALUE"""),"")</f>
        <v/>
      </c>
      <c r="F263" s="17" t="str">
        <f ca="1">IFERROR(__xludf.DUMMYFUNCTION("""COMPUTED_VALUE"""),"")</f>
        <v/>
      </c>
      <c r="G263" s="17" t="str">
        <f ca="1">IFERROR(__xludf.DUMMYFUNCTION("""COMPUTED_VALUE"""),"")</f>
        <v/>
      </c>
      <c r="H263" s="17" t="str">
        <v/>
      </c>
    </row>
    <row r="264" spans="5:8" ht="13.2">
      <c r="E264" s="17" t="str">
        <f ca="1">IFERROR(__xludf.DUMMYFUNCTION("""COMPUTED_VALUE"""),"")</f>
        <v/>
      </c>
      <c r="F264" s="17" t="str">
        <f ca="1">IFERROR(__xludf.DUMMYFUNCTION("""COMPUTED_VALUE"""),"")</f>
        <v/>
      </c>
      <c r="G264" s="17" t="str">
        <f ca="1">IFERROR(__xludf.DUMMYFUNCTION("""COMPUTED_VALUE"""),"")</f>
        <v/>
      </c>
      <c r="H264" s="17" t="str">
        <v/>
      </c>
    </row>
    <row r="265" spans="5:8" ht="13.2">
      <c r="E265" s="17" t="str">
        <f ca="1">IFERROR(__xludf.DUMMYFUNCTION("""COMPUTED_VALUE"""),"")</f>
        <v/>
      </c>
      <c r="F265" s="17" t="str">
        <f ca="1">IFERROR(__xludf.DUMMYFUNCTION("""COMPUTED_VALUE"""),"")</f>
        <v/>
      </c>
      <c r="G265" s="17" t="str">
        <f ca="1">IFERROR(__xludf.DUMMYFUNCTION("""COMPUTED_VALUE"""),"")</f>
        <v/>
      </c>
      <c r="H265" s="17" t="str">
        <v/>
      </c>
    </row>
    <row r="266" spans="5:8" ht="13.2">
      <c r="E266" s="17" t="str">
        <f ca="1">IFERROR(__xludf.DUMMYFUNCTION("""COMPUTED_VALUE"""),"")</f>
        <v/>
      </c>
      <c r="F266" s="17" t="str">
        <f ca="1">IFERROR(__xludf.DUMMYFUNCTION("""COMPUTED_VALUE"""),"")</f>
        <v/>
      </c>
      <c r="G266" s="17" t="str">
        <f ca="1">IFERROR(__xludf.DUMMYFUNCTION("""COMPUTED_VALUE"""),"")</f>
        <v/>
      </c>
      <c r="H266" s="17" t="str">
        <v/>
      </c>
    </row>
    <row r="267" spans="5:8" ht="13.2">
      <c r="E267" s="17" t="str">
        <f ca="1">IFERROR(__xludf.DUMMYFUNCTION("""COMPUTED_VALUE"""),"")</f>
        <v/>
      </c>
      <c r="F267" s="17" t="str">
        <f ca="1">IFERROR(__xludf.DUMMYFUNCTION("""COMPUTED_VALUE"""),"")</f>
        <v/>
      </c>
      <c r="G267" s="17" t="str">
        <f ca="1">IFERROR(__xludf.DUMMYFUNCTION("""COMPUTED_VALUE"""),"")</f>
        <v/>
      </c>
      <c r="H267" s="17" t="str">
        <v/>
      </c>
    </row>
    <row r="268" spans="5:8" ht="13.2">
      <c r="E268" s="17" t="str">
        <f ca="1">IFERROR(__xludf.DUMMYFUNCTION("""COMPUTED_VALUE"""),"")</f>
        <v/>
      </c>
      <c r="F268" s="17" t="str">
        <f ca="1">IFERROR(__xludf.DUMMYFUNCTION("""COMPUTED_VALUE"""),"")</f>
        <v/>
      </c>
      <c r="G268" s="17" t="str">
        <f ca="1">IFERROR(__xludf.DUMMYFUNCTION("""COMPUTED_VALUE"""),"")</f>
        <v/>
      </c>
      <c r="H268" s="17" t="str">
        <v/>
      </c>
    </row>
    <row r="269" spans="5:8" ht="13.2">
      <c r="E269" s="17" t="str">
        <f ca="1">IFERROR(__xludf.DUMMYFUNCTION("""COMPUTED_VALUE"""),"")</f>
        <v/>
      </c>
      <c r="F269" s="17" t="str">
        <f ca="1">IFERROR(__xludf.DUMMYFUNCTION("""COMPUTED_VALUE"""),"")</f>
        <v/>
      </c>
      <c r="G269" s="17" t="str">
        <f ca="1">IFERROR(__xludf.DUMMYFUNCTION("""COMPUTED_VALUE"""),"")</f>
        <v/>
      </c>
      <c r="H269" s="17" t="str">
        <v/>
      </c>
    </row>
    <row r="270" spans="5:8" ht="13.2">
      <c r="E270" s="17" t="str">
        <f ca="1">IFERROR(__xludf.DUMMYFUNCTION("""COMPUTED_VALUE"""),"")</f>
        <v/>
      </c>
      <c r="F270" s="17" t="str">
        <f ca="1">IFERROR(__xludf.DUMMYFUNCTION("""COMPUTED_VALUE"""),"")</f>
        <v/>
      </c>
      <c r="G270" s="17" t="str">
        <f ca="1">IFERROR(__xludf.DUMMYFUNCTION("""COMPUTED_VALUE"""),"")</f>
        <v/>
      </c>
      <c r="H270" s="17" t="str">
        <v/>
      </c>
    </row>
    <row r="271" spans="5:8" ht="13.2">
      <c r="E271" s="17" t="str">
        <f ca="1">IFERROR(__xludf.DUMMYFUNCTION("""COMPUTED_VALUE"""),"")</f>
        <v/>
      </c>
      <c r="F271" s="17" t="str">
        <f ca="1">IFERROR(__xludf.DUMMYFUNCTION("""COMPUTED_VALUE"""),"")</f>
        <v/>
      </c>
      <c r="G271" s="17" t="str">
        <f ca="1">IFERROR(__xludf.DUMMYFUNCTION("""COMPUTED_VALUE"""),"")</f>
        <v/>
      </c>
      <c r="H271" s="17" t="str">
        <v/>
      </c>
    </row>
    <row r="272" spans="5:8" ht="13.2">
      <c r="E272" s="17" t="str">
        <f ca="1">IFERROR(__xludf.DUMMYFUNCTION("""COMPUTED_VALUE"""),"")</f>
        <v/>
      </c>
      <c r="F272" s="17" t="str">
        <f ca="1">IFERROR(__xludf.DUMMYFUNCTION("""COMPUTED_VALUE"""),"")</f>
        <v/>
      </c>
      <c r="G272" s="17" t="str">
        <f ca="1">IFERROR(__xludf.DUMMYFUNCTION("""COMPUTED_VALUE"""),"")</f>
        <v/>
      </c>
      <c r="H272" s="17" t="str">
        <v/>
      </c>
    </row>
    <row r="273" spans="5:8" ht="13.2">
      <c r="E273" s="17" t="str">
        <f ca="1">IFERROR(__xludf.DUMMYFUNCTION("""COMPUTED_VALUE"""),"")</f>
        <v/>
      </c>
      <c r="F273" s="17" t="str">
        <f ca="1">IFERROR(__xludf.DUMMYFUNCTION("""COMPUTED_VALUE"""),"")</f>
        <v/>
      </c>
      <c r="G273" s="17" t="str">
        <f ca="1">IFERROR(__xludf.DUMMYFUNCTION("""COMPUTED_VALUE"""),"")</f>
        <v/>
      </c>
      <c r="H273" s="17" t="str">
        <v/>
      </c>
    </row>
    <row r="274" spans="5:8" ht="13.2">
      <c r="E274" s="17" t="str">
        <f ca="1">IFERROR(__xludf.DUMMYFUNCTION("""COMPUTED_VALUE"""),"")</f>
        <v/>
      </c>
      <c r="F274" s="17" t="str">
        <f ca="1">IFERROR(__xludf.DUMMYFUNCTION("""COMPUTED_VALUE"""),"")</f>
        <v/>
      </c>
      <c r="G274" s="17" t="str">
        <f ca="1">IFERROR(__xludf.DUMMYFUNCTION("""COMPUTED_VALUE"""),"")</f>
        <v/>
      </c>
      <c r="H274" s="17" t="str">
        <v/>
      </c>
    </row>
    <row r="275" spans="5:8" ht="13.2">
      <c r="E275" s="17" t="str">
        <f ca="1">IFERROR(__xludf.DUMMYFUNCTION("""COMPUTED_VALUE"""),"")</f>
        <v/>
      </c>
      <c r="F275" s="17" t="str">
        <f ca="1">IFERROR(__xludf.DUMMYFUNCTION("""COMPUTED_VALUE"""),"")</f>
        <v/>
      </c>
      <c r="G275" s="17" t="str">
        <f ca="1">IFERROR(__xludf.DUMMYFUNCTION("""COMPUTED_VALUE"""),"")</f>
        <v/>
      </c>
      <c r="H275" s="17" t="str">
        <v/>
      </c>
    </row>
    <row r="276" spans="5:8" ht="13.2">
      <c r="E276" s="17" t="str">
        <f ca="1">IFERROR(__xludf.DUMMYFUNCTION("""COMPUTED_VALUE"""),"")</f>
        <v/>
      </c>
      <c r="F276" s="17" t="str">
        <f ca="1">IFERROR(__xludf.DUMMYFUNCTION("""COMPUTED_VALUE"""),"")</f>
        <v/>
      </c>
      <c r="G276" s="17" t="str">
        <f ca="1">IFERROR(__xludf.DUMMYFUNCTION("""COMPUTED_VALUE"""),"")</f>
        <v/>
      </c>
      <c r="H276" s="17" t="str">
        <v/>
      </c>
    </row>
    <row r="277" spans="5:8" ht="13.2">
      <c r="E277" s="17" t="str">
        <f ca="1">IFERROR(__xludf.DUMMYFUNCTION("""COMPUTED_VALUE"""),"")</f>
        <v/>
      </c>
      <c r="F277" s="17" t="str">
        <f ca="1">IFERROR(__xludf.DUMMYFUNCTION("""COMPUTED_VALUE"""),"")</f>
        <v/>
      </c>
      <c r="G277" s="17" t="str">
        <f ca="1">IFERROR(__xludf.DUMMYFUNCTION("""COMPUTED_VALUE"""),"")</f>
        <v/>
      </c>
      <c r="H277" s="17" t="str">
        <v/>
      </c>
    </row>
    <row r="278" spans="5:8" ht="13.2">
      <c r="E278" s="17" t="str">
        <f ca="1">IFERROR(__xludf.DUMMYFUNCTION("""COMPUTED_VALUE"""),"")</f>
        <v/>
      </c>
      <c r="F278" s="17" t="str">
        <f ca="1">IFERROR(__xludf.DUMMYFUNCTION("""COMPUTED_VALUE"""),"")</f>
        <v/>
      </c>
      <c r="G278" s="17" t="str">
        <f ca="1">IFERROR(__xludf.DUMMYFUNCTION("""COMPUTED_VALUE"""),"")</f>
        <v/>
      </c>
      <c r="H278" s="17" t="str">
        <v/>
      </c>
    </row>
    <row r="279" spans="5:8" ht="13.2">
      <c r="E279" s="17" t="str">
        <f ca="1">IFERROR(__xludf.DUMMYFUNCTION("""COMPUTED_VALUE"""),"")</f>
        <v/>
      </c>
      <c r="F279" s="17" t="str">
        <f ca="1">IFERROR(__xludf.DUMMYFUNCTION("""COMPUTED_VALUE"""),"")</f>
        <v/>
      </c>
      <c r="G279" s="17" t="str">
        <f ca="1">IFERROR(__xludf.DUMMYFUNCTION("""COMPUTED_VALUE"""),"")</f>
        <v/>
      </c>
      <c r="H279" s="17" t="str">
        <v/>
      </c>
    </row>
    <row r="280" spans="5:8" ht="13.2">
      <c r="E280" s="17" t="str">
        <f ca="1">IFERROR(__xludf.DUMMYFUNCTION("""COMPUTED_VALUE"""),"")</f>
        <v/>
      </c>
      <c r="F280" s="17" t="str">
        <f ca="1">IFERROR(__xludf.DUMMYFUNCTION("""COMPUTED_VALUE"""),"")</f>
        <v/>
      </c>
      <c r="G280" s="17" t="str">
        <f ca="1">IFERROR(__xludf.DUMMYFUNCTION("""COMPUTED_VALUE"""),"")</f>
        <v/>
      </c>
      <c r="H280" s="17" t="str">
        <v/>
      </c>
    </row>
    <row r="281" spans="5:8" ht="13.2">
      <c r="E281" s="17" t="str">
        <f ca="1">IFERROR(__xludf.DUMMYFUNCTION("""COMPUTED_VALUE"""),"")</f>
        <v/>
      </c>
      <c r="F281" s="17" t="str">
        <f ca="1">IFERROR(__xludf.DUMMYFUNCTION("""COMPUTED_VALUE"""),"")</f>
        <v/>
      </c>
      <c r="G281" s="17" t="str">
        <f ca="1">IFERROR(__xludf.DUMMYFUNCTION("""COMPUTED_VALUE"""),"")</f>
        <v/>
      </c>
      <c r="H281" s="17" t="str">
        <v/>
      </c>
    </row>
    <row r="282" spans="5:8" ht="13.2">
      <c r="E282" s="17" t="str">
        <f ca="1">IFERROR(__xludf.DUMMYFUNCTION("""COMPUTED_VALUE"""),"")</f>
        <v/>
      </c>
      <c r="F282" s="17" t="str">
        <f ca="1">IFERROR(__xludf.DUMMYFUNCTION("""COMPUTED_VALUE"""),"")</f>
        <v/>
      </c>
      <c r="G282" s="17" t="str">
        <f ca="1">IFERROR(__xludf.DUMMYFUNCTION("""COMPUTED_VALUE"""),"")</f>
        <v/>
      </c>
      <c r="H282" s="17" t="str">
        <v/>
      </c>
    </row>
    <row r="283" spans="5:8" ht="13.2">
      <c r="E283" s="17" t="str">
        <f ca="1">IFERROR(__xludf.DUMMYFUNCTION("""COMPUTED_VALUE"""),"")</f>
        <v/>
      </c>
      <c r="F283" s="17" t="str">
        <f ca="1">IFERROR(__xludf.DUMMYFUNCTION("""COMPUTED_VALUE"""),"")</f>
        <v/>
      </c>
      <c r="G283" s="17" t="str">
        <f ca="1">IFERROR(__xludf.DUMMYFUNCTION("""COMPUTED_VALUE"""),"")</f>
        <v/>
      </c>
      <c r="H283" s="17" t="str">
        <v/>
      </c>
    </row>
    <row r="284" spans="5:8" ht="13.2">
      <c r="E284" s="17" t="str">
        <f ca="1">IFERROR(__xludf.DUMMYFUNCTION("""COMPUTED_VALUE"""),"")</f>
        <v/>
      </c>
      <c r="F284" s="17" t="str">
        <f ca="1">IFERROR(__xludf.DUMMYFUNCTION("""COMPUTED_VALUE"""),"")</f>
        <v/>
      </c>
      <c r="G284" s="17" t="str">
        <f ca="1">IFERROR(__xludf.DUMMYFUNCTION("""COMPUTED_VALUE"""),"")</f>
        <v/>
      </c>
      <c r="H284" s="17" t="str">
        <v/>
      </c>
    </row>
    <row r="285" spans="5:8" ht="13.2">
      <c r="E285" s="17" t="str">
        <f ca="1">IFERROR(__xludf.DUMMYFUNCTION("""COMPUTED_VALUE"""),"")</f>
        <v/>
      </c>
      <c r="F285" s="17" t="str">
        <f ca="1">IFERROR(__xludf.DUMMYFUNCTION("""COMPUTED_VALUE"""),"")</f>
        <v/>
      </c>
      <c r="G285" s="17" t="str">
        <f ca="1">IFERROR(__xludf.DUMMYFUNCTION("""COMPUTED_VALUE"""),"")</f>
        <v/>
      </c>
      <c r="H285" s="17" t="str">
        <v/>
      </c>
    </row>
    <row r="286" spans="5:8" ht="13.2">
      <c r="E286" s="17" t="str">
        <f ca="1">IFERROR(__xludf.DUMMYFUNCTION("""COMPUTED_VALUE"""),"")</f>
        <v/>
      </c>
      <c r="F286" s="17" t="str">
        <f ca="1">IFERROR(__xludf.DUMMYFUNCTION("""COMPUTED_VALUE"""),"")</f>
        <v/>
      </c>
      <c r="G286" s="17" t="str">
        <f ca="1">IFERROR(__xludf.DUMMYFUNCTION("""COMPUTED_VALUE"""),"")</f>
        <v/>
      </c>
      <c r="H286" s="17" t="str">
        <v/>
      </c>
    </row>
    <row r="287" spans="5:8" ht="13.2">
      <c r="E287" s="17" t="str">
        <f ca="1">IFERROR(__xludf.DUMMYFUNCTION("""COMPUTED_VALUE"""),"")</f>
        <v/>
      </c>
      <c r="F287" s="17" t="str">
        <f ca="1">IFERROR(__xludf.DUMMYFUNCTION("""COMPUTED_VALUE"""),"")</f>
        <v/>
      </c>
      <c r="G287" s="17" t="str">
        <f ca="1">IFERROR(__xludf.DUMMYFUNCTION("""COMPUTED_VALUE"""),"")</f>
        <v/>
      </c>
      <c r="H287" s="17" t="str">
        <v/>
      </c>
    </row>
    <row r="288" spans="5:8" ht="13.2">
      <c r="E288" s="17" t="str">
        <f ca="1">IFERROR(__xludf.DUMMYFUNCTION("""COMPUTED_VALUE"""),"")</f>
        <v/>
      </c>
      <c r="F288" s="17" t="str">
        <f ca="1">IFERROR(__xludf.DUMMYFUNCTION("""COMPUTED_VALUE"""),"")</f>
        <v/>
      </c>
      <c r="G288" s="17" t="str">
        <f ca="1">IFERROR(__xludf.DUMMYFUNCTION("""COMPUTED_VALUE"""),"")</f>
        <v/>
      </c>
      <c r="H288" s="17" t="str">
        <v/>
      </c>
    </row>
    <row r="289" spans="5:8" ht="13.2">
      <c r="E289" s="17" t="str">
        <f ca="1">IFERROR(__xludf.DUMMYFUNCTION("""COMPUTED_VALUE"""),"")</f>
        <v/>
      </c>
      <c r="F289" s="17" t="str">
        <f ca="1">IFERROR(__xludf.DUMMYFUNCTION("""COMPUTED_VALUE"""),"")</f>
        <v/>
      </c>
      <c r="G289" s="17" t="str">
        <f ca="1">IFERROR(__xludf.DUMMYFUNCTION("""COMPUTED_VALUE"""),"")</f>
        <v/>
      </c>
      <c r="H289" s="17" t="str">
        <v/>
      </c>
    </row>
    <row r="290" spans="5:8" ht="13.2">
      <c r="E290" s="17" t="str">
        <f ca="1">IFERROR(__xludf.DUMMYFUNCTION("""COMPUTED_VALUE"""),"")</f>
        <v/>
      </c>
      <c r="F290" s="17" t="str">
        <f ca="1">IFERROR(__xludf.DUMMYFUNCTION("""COMPUTED_VALUE"""),"")</f>
        <v/>
      </c>
      <c r="G290" s="17" t="str">
        <f ca="1">IFERROR(__xludf.DUMMYFUNCTION("""COMPUTED_VALUE"""),"")</f>
        <v/>
      </c>
      <c r="H290" s="17" t="str">
        <v/>
      </c>
    </row>
    <row r="291" spans="5:8" ht="13.2">
      <c r="E291" s="17" t="str">
        <f ca="1">IFERROR(__xludf.DUMMYFUNCTION("""COMPUTED_VALUE"""),"")</f>
        <v/>
      </c>
      <c r="F291" s="17" t="str">
        <f ca="1">IFERROR(__xludf.DUMMYFUNCTION("""COMPUTED_VALUE"""),"")</f>
        <v/>
      </c>
      <c r="G291" s="17" t="str">
        <f ca="1">IFERROR(__xludf.DUMMYFUNCTION("""COMPUTED_VALUE"""),"")</f>
        <v/>
      </c>
      <c r="H291" s="17" t="str">
        <v/>
      </c>
    </row>
    <row r="292" spans="5:8" ht="13.2">
      <c r="E292" s="17" t="str">
        <f ca="1">IFERROR(__xludf.DUMMYFUNCTION("""COMPUTED_VALUE"""),"")</f>
        <v/>
      </c>
      <c r="F292" s="17" t="str">
        <f ca="1">IFERROR(__xludf.DUMMYFUNCTION("""COMPUTED_VALUE"""),"")</f>
        <v/>
      </c>
      <c r="G292" s="17" t="str">
        <f ca="1">IFERROR(__xludf.DUMMYFUNCTION("""COMPUTED_VALUE"""),"")</f>
        <v/>
      </c>
      <c r="H292" s="17" t="str">
        <v/>
      </c>
    </row>
    <row r="293" spans="5:8" ht="13.2">
      <c r="E293" s="17" t="str">
        <f ca="1">IFERROR(__xludf.DUMMYFUNCTION("""COMPUTED_VALUE"""),"")</f>
        <v/>
      </c>
      <c r="F293" s="17" t="str">
        <f ca="1">IFERROR(__xludf.DUMMYFUNCTION("""COMPUTED_VALUE"""),"")</f>
        <v/>
      </c>
      <c r="G293" s="17" t="str">
        <f ca="1">IFERROR(__xludf.DUMMYFUNCTION("""COMPUTED_VALUE"""),"")</f>
        <v/>
      </c>
      <c r="H293" s="17" t="str">
        <v/>
      </c>
    </row>
    <row r="294" spans="5:8" ht="13.2">
      <c r="E294" s="17" t="str">
        <f ca="1">IFERROR(__xludf.DUMMYFUNCTION("""COMPUTED_VALUE"""),"")</f>
        <v/>
      </c>
      <c r="F294" s="17" t="str">
        <f ca="1">IFERROR(__xludf.DUMMYFUNCTION("""COMPUTED_VALUE"""),"")</f>
        <v/>
      </c>
      <c r="G294" s="17" t="str">
        <f ca="1">IFERROR(__xludf.DUMMYFUNCTION("""COMPUTED_VALUE"""),"")</f>
        <v/>
      </c>
      <c r="H294" s="17" t="str">
        <v/>
      </c>
    </row>
    <row r="295" spans="5:8" ht="13.2">
      <c r="E295" s="17" t="str">
        <f ca="1">IFERROR(__xludf.DUMMYFUNCTION("""COMPUTED_VALUE"""),"")</f>
        <v/>
      </c>
      <c r="F295" s="17" t="str">
        <f ca="1">IFERROR(__xludf.DUMMYFUNCTION("""COMPUTED_VALUE"""),"")</f>
        <v/>
      </c>
      <c r="G295" s="17" t="str">
        <f ca="1">IFERROR(__xludf.DUMMYFUNCTION("""COMPUTED_VALUE"""),"")</f>
        <v/>
      </c>
      <c r="H295" s="17" t="str">
        <v/>
      </c>
    </row>
    <row r="296" spans="5:8" ht="13.2">
      <c r="E296" s="17" t="str">
        <f ca="1">IFERROR(__xludf.DUMMYFUNCTION("""COMPUTED_VALUE"""),"")</f>
        <v/>
      </c>
      <c r="F296" s="17" t="str">
        <f ca="1">IFERROR(__xludf.DUMMYFUNCTION("""COMPUTED_VALUE"""),"")</f>
        <v/>
      </c>
      <c r="G296" s="17" t="str">
        <f ca="1">IFERROR(__xludf.DUMMYFUNCTION("""COMPUTED_VALUE"""),"")</f>
        <v/>
      </c>
      <c r="H296" s="17" t="str">
        <v/>
      </c>
    </row>
    <row r="297" spans="5:8" ht="13.2">
      <c r="E297" s="17" t="str">
        <f ca="1">IFERROR(__xludf.DUMMYFUNCTION("""COMPUTED_VALUE"""),"")</f>
        <v/>
      </c>
      <c r="F297" s="17" t="str">
        <f ca="1">IFERROR(__xludf.DUMMYFUNCTION("""COMPUTED_VALUE"""),"")</f>
        <v/>
      </c>
      <c r="G297" s="17" t="str">
        <f ca="1">IFERROR(__xludf.DUMMYFUNCTION("""COMPUTED_VALUE"""),"")</f>
        <v/>
      </c>
      <c r="H297" s="17" t="str">
        <v/>
      </c>
    </row>
    <row r="298" spans="5:8" ht="13.2">
      <c r="E298" s="17" t="str">
        <f ca="1">IFERROR(__xludf.DUMMYFUNCTION("""COMPUTED_VALUE"""),"")</f>
        <v/>
      </c>
      <c r="F298" s="17" t="str">
        <f ca="1">IFERROR(__xludf.DUMMYFUNCTION("""COMPUTED_VALUE"""),"")</f>
        <v/>
      </c>
      <c r="G298" s="17" t="str">
        <f ca="1">IFERROR(__xludf.DUMMYFUNCTION("""COMPUTED_VALUE"""),"")</f>
        <v/>
      </c>
      <c r="H298" s="17" t="str">
        <v/>
      </c>
    </row>
    <row r="299" spans="5:8" ht="13.2">
      <c r="E299" s="17" t="str">
        <f ca="1">IFERROR(__xludf.DUMMYFUNCTION("""COMPUTED_VALUE"""),"")</f>
        <v/>
      </c>
      <c r="F299" s="17" t="str">
        <f ca="1">IFERROR(__xludf.DUMMYFUNCTION("""COMPUTED_VALUE"""),"")</f>
        <v/>
      </c>
      <c r="G299" s="17" t="str">
        <f ca="1">IFERROR(__xludf.DUMMYFUNCTION("""COMPUTED_VALUE"""),"")</f>
        <v/>
      </c>
      <c r="H299" s="17" t="str">
        <v/>
      </c>
    </row>
    <row r="300" spans="5:8" ht="13.2">
      <c r="E300" s="17" t="str">
        <f ca="1">IFERROR(__xludf.DUMMYFUNCTION("""COMPUTED_VALUE"""),"")</f>
        <v/>
      </c>
      <c r="F300" s="17" t="str">
        <f ca="1">IFERROR(__xludf.DUMMYFUNCTION("""COMPUTED_VALUE"""),"")</f>
        <v/>
      </c>
      <c r="G300" s="17" t="str">
        <f ca="1">IFERROR(__xludf.DUMMYFUNCTION("""COMPUTED_VALUE"""),"")</f>
        <v/>
      </c>
      <c r="H300" s="17" t="str">
        <v/>
      </c>
    </row>
    <row r="301" spans="5:8" ht="13.2">
      <c r="E301" s="17" t="str">
        <f ca="1">IFERROR(__xludf.DUMMYFUNCTION("""COMPUTED_VALUE"""),"")</f>
        <v/>
      </c>
      <c r="F301" s="17" t="str">
        <f ca="1">IFERROR(__xludf.DUMMYFUNCTION("""COMPUTED_VALUE"""),"")</f>
        <v/>
      </c>
      <c r="G301" s="17" t="str">
        <f ca="1">IFERROR(__xludf.DUMMYFUNCTION("""COMPUTED_VALUE"""),"")</f>
        <v/>
      </c>
      <c r="H301" s="17" t="str">
        <v/>
      </c>
    </row>
    <row r="302" spans="5:8" ht="13.2">
      <c r="E302" s="17" t="str">
        <f ca="1">IFERROR(__xludf.DUMMYFUNCTION("""COMPUTED_VALUE"""),"")</f>
        <v/>
      </c>
      <c r="F302" s="17" t="str">
        <f ca="1">IFERROR(__xludf.DUMMYFUNCTION("""COMPUTED_VALUE"""),"")</f>
        <v/>
      </c>
      <c r="G302" s="17" t="str">
        <f ca="1">IFERROR(__xludf.DUMMYFUNCTION("""COMPUTED_VALUE"""),"")</f>
        <v/>
      </c>
      <c r="H302" s="17" t="str">
        <v/>
      </c>
    </row>
    <row r="303" spans="5:8" ht="13.2">
      <c r="E303" s="17" t="str">
        <f ca="1">IFERROR(__xludf.DUMMYFUNCTION("""COMPUTED_VALUE"""),"")</f>
        <v/>
      </c>
      <c r="F303" s="17" t="str">
        <f ca="1">IFERROR(__xludf.DUMMYFUNCTION("""COMPUTED_VALUE"""),"")</f>
        <v/>
      </c>
      <c r="G303" s="17" t="str">
        <f ca="1">IFERROR(__xludf.DUMMYFUNCTION("""COMPUTED_VALUE"""),"")</f>
        <v/>
      </c>
      <c r="H303" s="17" t="str">
        <v/>
      </c>
    </row>
    <row r="304" spans="5:8" ht="13.2">
      <c r="E304" s="17" t="str">
        <f ca="1">IFERROR(__xludf.DUMMYFUNCTION("""COMPUTED_VALUE"""),"")</f>
        <v/>
      </c>
      <c r="F304" s="17" t="str">
        <f ca="1">IFERROR(__xludf.DUMMYFUNCTION("""COMPUTED_VALUE"""),"")</f>
        <v/>
      </c>
      <c r="G304" s="17" t="str">
        <f ca="1">IFERROR(__xludf.DUMMYFUNCTION("""COMPUTED_VALUE"""),"")</f>
        <v/>
      </c>
      <c r="H304" s="17" t="str">
        <v/>
      </c>
    </row>
    <row r="305" spans="5:8" ht="13.2">
      <c r="E305" s="17" t="str">
        <f ca="1">IFERROR(__xludf.DUMMYFUNCTION("""COMPUTED_VALUE"""),"")</f>
        <v/>
      </c>
      <c r="F305" s="17" t="str">
        <f ca="1">IFERROR(__xludf.DUMMYFUNCTION("""COMPUTED_VALUE"""),"")</f>
        <v/>
      </c>
      <c r="G305" s="17" t="str">
        <f ca="1">IFERROR(__xludf.DUMMYFUNCTION("""COMPUTED_VALUE"""),"")</f>
        <v/>
      </c>
      <c r="H305" s="17" t="str">
        <v/>
      </c>
    </row>
    <row r="306" spans="5:8" ht="13.2">
      <c r="E306" s="17" t="str">
        <f ca="1">IFERROR(__xludf.DUMMYFUNCTION("""COMPUTED_VALUE"""),"")</f>
        <v/>
      </c>
      <c r="F306" s="17" t="str">
        <f ca="1">IFERROR(__xludf.DUMMYFUNCTION("""COMPUTED_VALUE"""),"")</f>
        <v/>
      </c>
      <c r="G306" s="17" t="str">
        <f ca="1">IFERROR(__xludf.DUMMYFUNCTION("""COMPUTED_VALUE"""),"")</f>
        <v/>
      </c>
      <c r="H306" s="17" t="str">
        <v/>
      </c>
    </row>
    <row r="307" spans="5:8" ht="13.2">
      <c r="E307" s="17" t="str">
        <f ca="1">IFERROR(__xludf.DUMMYFUNCTION("""COMPUTED_VALUE"""),"")</f>
        <v/>
      </c>
      <c r="F307" s="17" t="str">
        <f ca="1">IFERROR(__xludf.DUMMYFUNCTION("""COMPUTED_VALUE"""),"")</f>
        <v/>
      </c>
      <c r="G307" s="17" t="str">
        <f ca="1">IFERROR(__xludf.DUMMYFUNCTION("""COMPUTED_VALUE"""),"")</f>
        <v/>
      </c>
      <c r="H307" s="17" t="str">
        <v/>
      </c>
    </row>
    <row r="308" spans="5:8" ht="13.2">
      <c r="E308" s="17" t="str">
        <f ca="1">IFERROR(__xludf.DUMMYFUNCTION("""COMPUTED_VALUE"""),"")</f>
        <v/>
      </c>
      <c r="F308" s="17" t="str">
        <f ca="1">IFERROR(__xludf.DUMMYFUNCTION("""COMPUTED_VALUE"""),"")</f>
        <v/>
      </c>
      <c r="G308" s="17" t="str">
        <f ca="1">IFERROR(__xludf.DUMMYFUNCTION("""COMPUTED_VALUE"""),"")</f>
        <v/>
      </c>
      <c r="H308" s="17" t="str">
        <v/>
      </c>
    </row>
    <row r="309" spans="5:8" ht="13.2">
      <c r="E309" s="17" t="str">
        <f ca="1">IFERROR(__xludf.DUMMYFUNCTION("""COMPUTED_VALUE"""),"")</f>
        <v/>
      </c>
      <c r="F309" s="17" t="str">
        <f ca="1">IFERROR(__xludf.DUMMYFUNCTION("""COMPUTED_VALUE"""),"")</f>
        <v/>
      </c>
      <c r="G309" s="17" t="str">
        <f ca="1">IFERROR(__xludf.DUMMYFUNCTION("""COMPUTED_VALUE"""),"")</f>
        <v/>
      </c>
      <c r="H309" s="17" t="str">
        <v/>
      </c>
    </row>
    <row r="310" spans="5:8" ht="13.2">
      <c r="E310" s="17" t="str">
        <f ca="1">IFERROR(__xludf.DUMMYFUNCTION("""COMPUTED_VALUE"""),"")</f>
        <v/>
      </c>
      <c r="F310" s="17" t="str">
        <f ca="1">IFERROR(__xludf.DUMMYFUNCTION("""COMPUTED_VALUE"""),"")</f>
        <v/>
      </c>
      <c r="G310" s="17" t="str">
        <f ca="1">IFERROR(__xludf.DUMMYFUNCTION("""COMPUTED_VALUE"""),"")</f>
        <v/>
      </c>
      <c r="H310" s="17" t="str">
        <v/>
      </c>
    </row>
    <row r="311" spans="5:8" ht="13.2">
      <c r="E311" s="17" t="str">
        <f ca="1">IFERROR(__xludf.DUMMYFUNCTION("""COMPUTED_VALUE"""),"")</f>
        <v/>
      </c>
      <c r="F311" s="17" t="str">
        <f ca="1">IFERROR(__xludf.DUMMYFUNCTION("""COMPUTED_VALUE"""),"")</f>
        <v/>
      </c>
      <c r="G311" s="17" t="str">
        <f ca="1">IFERROR(__xludf.DUMMYFUNCTION("""COMPUTED_VALUE"""),"")</f>
        <v/>
      </c>
      <c r="H311" s="17" t="str">
        <v/>
      </c>
    </row>
    <row r="312" spans="5:8" ht="13.2">
      <c r="E312" s="17" t="str">
        <f ca="1">IFERROR(__xludf.DUMMYFUNCTION("""COMPUTED_VALUE"""),"")</f>
        <v/>
      </c>
      <c r="F312" s="17" t="str">
        <f ca="1">IFERROR(__xludf.DUMMYFUNCTION("""COMPUTED_VALUE"""),"")</f>
        <v/>
      </c>
      <c r="G312" s="17" t="str">
        <f ca="1">IFERROR(__xludf.DUMMYFUNCTION("""COMPUTED_VALUE"""),"")</f>
        <v/>
      </c>
      <c r="H312" s="17" t="str">
        <v/>
      </c>
    </row>
    <row r="313" spans="5:8" ht="13.2">
      <c r="E313" s="17" t="str">
        <f ca="1">IFERROR(__xludf.DUMMYFUNCTION("""COMPUTED_VALUE"""),"")</f>
        <v/>
      </c>
      <c r="F313" s="17" t="str">
        <f ca="1">IFERROR(__xludf.DUMMYFUNCTION("""COMPUTED_VALUE"""),"")</f>
        <v/>
      </c>
      <c r="G313" s="17" t="str">
        <f ca="1">IFERROR(__xludf.DUMMYFUNCTION("""COMPUTED_VALUE"""),"")</f>
        <v/>
      </c>
      <c r="H313" s="17" t="str">
        <v/>
      </c>
    </row>
    <row r="314" spans="5:8" ht="13.2">
      <c r="E314" s="17" t="str">
        <f ca="1">IFERROR(__xludf.DUMMYFUNCTION("""COMPUTED_VALUE"""),"")</f>
        <v/>
      </c>
      <c r="F314" s="17" t="str">
        <f ca="1">IFERROR(__xludf.DUMMYFUNCTION("""COMPUTED_VALUE"""),"")</f>
        <v/>
      </c>
      <c r="G314" s="17" t="str">
        <f ca="1">IFERROR(__xludf.DUMMYFUNCTION("""COMPUTED_VALUE"""),"")</f>
        <v/>
      </c>
      <c r="H314" s="17" t="str">
        <v/>
      </c>
    </row>
    <row r="315" spans="5:8" ht="13.2">
      <c r="E315" s="17" t="str">
        <f ca="1">IFERROR(__xludf.DUMMYFUNCTION("""COMPUTED_VALUE"""),"")</f>
        <v/>
      </c>
      <c r="F315" s="17" t="str">
        <f ca="1">IFERROR(__xludf.DUMMYFUNCTION("""COMPUTED_VALUE"""),"")</f>
        <v/>
      </c>
      <c r="G315" s="17" t="str">
        <f ca="1">IFERROR(__xludf.DUMMYFUNCTION("""COMPUTED_VALUE"""),"")</f>
        <v/>
      </c>
      <c r="H315" s="17" t="str">
        <v/>
      </c>
    </row>
    <row r="316" spans="5:8" ht="13.2">
      <c r="E316" s="17" t="str">
        <f ca="1">IFERROR(__xludf.DUMMYFUNCTION("""COMPUTED_VALUE"""),"")</f>
        <v/>
      </c>
      <c r="F316" s="17" t="str">
        <f ca="1">IFERROR(__xludf.DUMMYFUNCTION("""COMPUTED_VALUE"""),"")</f>
        <v/>
      </c>
      <c r="G316" s="17" t="str">
        <f ca="1">IFERROR(__xludf.DUMMYFUNCTION("""COMPUTED_VALUE"""),"")</f>
        <v/>
      </c>
      <c r="H316" s="17" t="str">
        <v/>
      </c>
    </row>
    <row r="317" spans="5:8" ht="13.2">
      <c r="E317" s="17" t="str">
        <f ca="1">IFERROR(__xludf.DUMMYFUNCTION("""COMPUTED_VALUE"""),"")</f>
        <v/>
      </c>
      <c r="F317" s="17" t="str">
        <f ca="1">IFERROR(__xludf.DUMMYFUNCTION("""COMPUTED_VALUE"""),"")</f>
        <v/>
      </c>
      <c r="G317" s="17" t="str">
        <f ca="1">IFERROR(__xludf.DUMMYFUNCTION("""COMPUTED_VALUE"""),"")</f>
        <v/>
      </c>
      <c r="H317" s="17" t="str">
        <v/>
      </c>
    </row>
    <row r="318" spans="5:8" ht="13.2">
      <c r="E318" s="17" t="str">
        <f ca="1">IFERROR(__xludf.DUMMYFUNCTION("""COMPUTED_VALUE"""),"")</f>
        <v/>
      </c>
      <c r="F318" s="17" t="str">
        <f ca="1">IFERROR(__xludf.DUMMYFUNCTION("""COMPUTED_VALUE"""),"")</f>
        <v/>
      </c>
      <c r="G318" s="17" t="str">
        <f ca="1">IFERROR(__xludf.DUMMYFUNCTION("""COMPUTED_VALUE"""),"")</f>
        <v/>
      </c>
      <c r="H318" s="17" t="str">
        <v/>
      </c>
    </row>
    <row r="319" spans="5:8" ht="13.2">
      <c r="E319" s="17" t="str">
        <f ca="1">IFERROR(__xludf.DUMMYFUNCTION("""COMPUTED_VALUE"""),"")</f>
        <v/>
      </c>
      <c r="F319" s="17" t="str">
        <f ca="1">IFERROR(__xludf.DUMMYFUNCTION("""COMPUTED_VALUE"""),"")</f>
        <v/>
      </c>
      <c r="G319" s="17" t="str">
        <f ca="1">IFERROR(__xludf.DUMMYFUNCTION("""COMPUTED_VALUE"""),"")</f>
        <v/>
      </c>
      <c r="H319" s="17" t="str">
        <v/>
      </c>
    </row>
    <row r="320" spans="5:8" ht="13.2">
      <c r="E320" s="17" t="str">
        <f ca="1">IFERROR(__xludf.DUMMYFUNCTION("""COMPUTED_VALUE"""),"")</f>
        <v/>
      </c>
      <c r="F320" s="17" t="str">
        <f ca="1">IFERROR(__xludf.DUMMYFUNCTION("""COMPUTED_VALUE"""),"")</f>
        <v/>
      </c>
      <c r="G320" s="17" t="str">
        <f ca="1">IFERROR(__xludf.DUMMYFUNCTION("""COMPUTED_VALUE"""),"")</f>
        <v/>
      </c>
      <c r="H320" s="17" t="str">
        <v/>
      </c>
    </row>
    <row r="321" spans="5:8" ht="13.2">
      <c r="E321" s="17" t="str">
        <f ca="1">IFERROR(__xludf.DUMMYFUNCTION("""COMPUTED_VALUE"""),"")</f>
        <v/>
      </c>
      <c r="F321" s="17" t="str">
        <f ca="1">IFERROR(__xludf.DUMMYFUNCTION("""COMPUTED_VALUE"""),"")</f>
        <v/>
      </c>
      <c r="G321" s="17" t="str">
        <f ca="1">IFERROR(__xludf.DUMMYFUNCTION("""COMPUTED_VALUE"""),"")</f>
        <v/>
      </c>
      <c r="H321" s="17" t="str">
        <v/>
      </c>
    </row>
    <row r="322" spans="5:8" ht="13.2">
      <c r="E322" s="17" t="str">
        <f ca="1">IFERROR(__xludf.DUMMYFUNCTION("""COMPUTED_VALUE"""),"")</f>
        <v/>
      </c>
      <c r="F322" s="17" t="str">
        <f ca="1">IFERROR(__xludf.DUMMYFUNCTION("""COMPUTED_VALUE"""),"")</f>
        <v/>
      </c>
      <c r="G322" s="17" t="str">
        <f ca="1">IFERROR(__xludf.DUMMYFUNCTION("""COMPUTED_VALUE"""),"")</f>
        <v/>
      </c>
      <c r="H322" s="17" t="str">
        <v/>
      </c>
    </row>
    <row r="323" spans="5:8" ht="13.2">
      <c r="E323" s="17" t="str">
        <f ca="1">IFERROR(__xludf.DUMMYFUNCTION("""COMPUTED_VALUE"""),"")</f>
        <v/>
      </c>
      <c r="F323" s="17" t="str">
        <f ca="1">IFERROR(__xludf.DUMMYFUNCTION("""COMPUTED_VALUE"""),"")</f>
        <v/>
      </c>
      <c r="G323" s="17" t="str">
        <f ca="1">IFERROR(__xludf.DUMMYFUNCTION("""COMPUTED_VALUE"""),"")</f>
        <v/>
      </c>
      <c r="H323" s="17" t="str">
        <v/>
      </c>
    </row>
    <row r="324" spans="5:8" ht="13.2">
      <c r="E324" s="17" t="str">
        <f ca="1">IFERROR(__xludf.DUMMYFUNCTION("""COMPUTED_VALUE"""),"")</f>
        <v/>
      </c>
      <c r="F324" s="17" t="str">
        <f ca="1">IFERROR(__xludf.DUMMYFUNCTION("""COMPUTED_VALUE"""),"")</f>
        <v/>
      </c>
      <c r="G324" s="17" t="str">
        <f ca="1">IFERROR(__xludf.DUMMYFUNCTION("""COMPUTED_VALUE"""),"")</f>
        <v/>
      </c>
      <c r="H324" s="17" t="str">
        <v/>
      </c>
    </row>
    <row r="325" spans="5:8" ht="13.2">
      <c r="E325" s="17" t="str">
        <f ca="1">IFERROR(__xludf.DUMMYFUNCTION("""COMPUTED_VALUE"""),"")</f>
        <v/>
      </c>
      <c r="F325" s="17" t="str">
        <f ca="1">IFERROR(__xludf.DUMMYFUNCTION("""COMPUTED_VALUE"""),"")</f>
        <v/>
      </c>
      <c r="G325" s="17" t="str">
        <f ca="1">IFERROR(__xludf.DUMMYFUNCTION("""COMPUTED_VALUE"""),"")</f>
        <v/>
      </c>
      <c r="H325" s="17" t="str">
        <v/>
      </c>
    </row>
    <row r="326" spans="5:8" ht="13.2">
      <c r="E326" s="17" t="str">
        <f ca="1">IFERROR(__xludf.DUMMYFUNCTION("""COMPUTED_VALUE"""),"")</f>
        <v/>
      </c>
      <c r="F326" s="17" t="str">
        <f ca="1">IFERROR(__xludf.DUMMYFUNCTION("""COMPUTED_VALUE"""),"")</f>
        <v/>
      </c>
      <c r="G326" s="17" t="str">
        <f ca="1">IFERROR(__xludf.DUMMYFUNCTION("""COMPUTED_VALUE"""),"")</f>
        <v/>
      </c>
      <c r="H326" s="17" t="str">
        <v/>
      </c>
    </row>
    <row r="327" spans="5:8" ht="13.2">
      <c r="E327" s="17" t="str">
        <f ca="1">IFERROR(__xludf.DUMMYFUNCTION("""COMPUTED_VALUE"""),"")</f>
        <v/>
      </c>
      <c r="F327" s="17" t="str">
        <f ca="1">IFERROR(__xludf.DUMMYFUNCTION("""COMPUTED_VALUE"""),"")</f>
        <v/>
      </c>
      <c r="G327" s="17" t="str">
        <f ca="1">IFERROR(__xludf.DUMMYFUNCTION("""COMPUTED_VALUE"""),"")</f>
        <v/>
      </c>
      <c r="H327" s="17" t="str">
        <v/>
      </c>
    </row>
    <row r="328" spans="5:8" ht="13.2">
      <c r="E328" s="17" t="str">
        <f ca="1">IFERROR(__xludf.DUMMYFUNCTION("""COMPUTED_VALUE"""),"")</f>
        <v/>
      </c>
      <c r="F328" s="17" t="str">
        <f ca="1">IFERROR(__xludf.DUMMYFUNCTION("""COMPUTED_VALUE"""),"")</f>
        <v/>
      </c>
      <c r="G328" s="17" t="str">
        <f ca="1">IFERROR(__xludf.DUMMYFUNCTION("""COMPUTED_VALUE"""),"")</f>
        <v/>
      </c>
      <c r="H328" s="17" t="str">
        <v/>
      </c>
    </row>
    <row r="329" spans="5:8" ht="13.2">
      <c r="E329" s="17" t="str">
        <f ca="1">IFERROR(__xludf.DUMMYFUNCTION("""COMPUTED_VALUE"""),"")</f>
        <v/>
      </c>
      <c r="F329" s="17" t="str">
        <f ca="1">IFERROR(__xludf.DUMMYFUNCTION("""COMPUTED_VALUE"""),"")</f>
        <v/>
      </c>
      <c r="G329" s="17" t="str">
        <f ca="1">IFERROR(__xludf.DUMMYFUNCTION("""COMPUTED_VALUE"""),"")</f>
        <v/>
      </c>
      <c r="H329" s="17" t="str">
        <v/>
      </c>
    </row>
    <row r="330" spans="5:8" ht="13.2">
      <c r="E330" s="17" t="str">
        <f ca="1">IFERROR(__xludf.DUMMYFUNCTION("""COMPUTED_VALUE"""),"")</f>
        <v/>
      </c>
      <c r="F330" s="17" t="str">
        <f ca="1">IFERROR(__xludf.DUMMYFUNCTION("""COMPUTED_VALUE"""),"")</f>
        <v/>
      </c>
      <c r="G330" s="17" t="str">
        <f ca="1">IFERROR(__xludf.DUMMYFUNCTION("""COMPUTED_VALUE"""),"")</f>
        <v/>
      </c>
      <c r="H330" s="17" t="str">
        <v/>
      </c>
    </row>
    <row r="331" spans="5:8" ht="13.2">
      <c r="E331" s="17" t="str">
        <f ca="1">IFERROR(__xludf.DUMMYFUNCTION("""COMPUTED_VALUE"""),"")</f>
        <v/>
      </c>
      <c r="F331" s="17" t="str">
        <f ca="1">IFERROR(__xludf.DUMMYFUNCTION("""COMPUTED_VALUE"""),"")</f>
        <v/>
      </c>
      <c r="G331" s="17" t="str">
        <f ca="1">IFERROR(__xludf.DUMMYFUNCTION("""COMPUTED_VALUE"""),"")</f>
        <v/>
      </c>
      <c r="H331" s="17" t="str">
        <v/>
      </c>
    </row>
    <row r="332" spans="5:8" ht="13.2">
      <c r="E332" s="17" t="str">
        <f ca="1">IFERROR(__xludf.DUMMYFUNCTION("""COMPUTED_VALUE"""),"")</f>
        <v/>
      </c>
      <c r="F332" s="17" t="str">
        <f ca="1">IFERROR(__xludf.DUMMYFUNCTION("""COMPUTED_VALUE"""),"")</f>
        <v/>
      </c>
      <c r="G332" s="17" t="str">
        <f ca="1">IFERROR(__xludf.DUMMYFUNCTION("""COMPUTED_VALUE"""),"")</f>
        <v/>
      </c>
      <c r="H332" s="17" t="str">
        <v/>
      </c>
    </row>
    <row r="333" spans="5:8" ht="13.2">
      <c r="E333" s="17" t="str">
        <f ca="1">IFERROR(__xludf.DUMMYFUNCTION("""COMPUTED_VALUE"""),"")</f>
        <v/>
      </c>
      <c r="F333" s="17" t="str">
        <f ca="1">IFERROR(__xludf.DUMMYFUNCTION("""COMPUTED_VALUE"""),"")</f>
        <v/>
      </c>
      <c r="G333" s="17" t="str">
        <f ca="1">IFERROR(__xludf.DUMMYFUNCTION("""COMPUTED_VALUE"""),"")</f>
        <v/>
      </c>
      <c r="H333" s="17" t="str">
        <v/>
      </c>
    </row>
    <row r="334" spans="5:8" ht="13.2">
      <c r="E334" s="17" t="str">
        <f ca="1">IFERROR(__xludf.DUMMYFUNCTION("""COMPUTED_VALUE"""),"")</f>
        <v/>
      </c>
      <c r="F334" s="17" t="str">
        <f ca="1">IFERROR(__xludf.DUMMYFUNCTION("""COMPUTED_VALUE"""),"")</f>
        <v/>
      </c>
      <c r="G334" s="17" t="str">
        <f ca="1">IFERROR(__xludf.DUMMYFUNCTION("""COMPUTED_VALUE"""),"")</f>
        <v/>
      </c>
      <c r="H334" s="17" t="str">
        <v/>
      </c>
    </row>
    <row r="335" spans="5:8" ht="13.2">
      <c r="E335" s="17" t="str">
        <f ca="1">IFERROR(__xludf.DUMMYFUNCTION("""COMPUTED_VALUE"""),"")</f>
        <v/>
      </c>
      <c r="F335" s="17" t="str">
        <f ca="1">IFERROR(__xludf.DUMMYFUNCTION("""COMPUTED_VALUE"""),"")</f>
        <v/>
      </c>
      <c r="G335" s="17" t="str">
        <f ca="1">IFERROR(__xludf.DUMMYFUNCTION("""COMPUTED_VALUE"""),"")</f>
        <v/>
      </c>
      <c r="H335" s="17" t="str">
        <v/>
      </c>
    </row>
    <row r="336" spans="5:8" ht="13.2">
      <c r="E336" s="17" t="str">
        <f ca="1">IFERROR(__xludf.DUMMYFUNCTION("""COMPUTED_VALUE"""),"")</f>
        <v/>
      </c>
      <c r="F336" s="17" t="str">
        <f ca="1">IFERROR(__xludf.DUMMYFUNCTION("""COMPUTED_VALUE"""),"")</f>
        <v/>
      </c>
      <c r="G336" s="17" t="str">
        <f ca="1">IFERROR(__xludf.DUMMYFUNCTION("""COMPUTED_VALUE"""),"")</f>
        <v/>
      </c>
      <c r="H336" s="17" t="str">
        <v/>
      </c>
    </row>
    <row r="337" spans="5:8" ht="13.2">
      <c r="E337" s="17" t="str">
        <f ca="1">IFERROR(__xludf.DUMMYFUNCTION("""COMPUTED_VALUE"""),"")</f>
        <v/>
      </c>
      <c r="F337" s="17" t="str">
        <f ca="1">IFERROR(__xludf.DUMMYFUNCTION("""COMPUTED_VALUE"""),"")</f>
        <v/>
      </c>
      <c r="G337" s="17" t="str">
        <f ca="1">IFERROR(__xludf.DUMMYFUNCTION("""COMPUTED_VALUE"""),"")</f>
        <v/>
      </c>
      <c r="H337" s="17" t="str">
        <v/>
      </c>
    </row>
    <row r="338" spans="5:8" ht="13.2">
      <c r="E338" s="17" t="str">
        <f ca="1">IFERROR(__xludf.DUMMYFUNCTION("""COMPUTED_VALUE"""),"")</f>
        <v/>
      </c>
      <c r="F338" s="17" t="str">
        <f ca="1">IFERROR(__xludf.DUMMYFUNCTION("""COMPUTED_VALUE"""),"")</f>
        <v/>
      </c>
      <c r="G338" s="17" t="str">
        <f ca="1">IFERROR(__xludf.DUMMYFUNCTION("""COMPUTED_VALUE"""),"")</f>
        <v/>
      </c>
      <c r="H338" s="17" t="str">
        <v/>
      </c>
    </row>
    <row r="339" spans="5:8" ht="13.2">
      <c r="E339" s="17" t="str">
        <f ca="1">IFERROR(__xludf.DUMMYFUNCTION("""COMPUTED_VALUE"""),"")</f>
        <v/>
      </c>
      <c r="F339" s="17" t="str">
        <f ca="1">IFERROR(__xludf.DUMMYFUNCTION("""COMPUTED_VALUE"""),"")</f>
        <v/>
      </c>
      <c r="G339" s="17" t="str">
        <f ca="1">IFERROR(__xludf.DUMMYFUNCTION("""COMPUTED_VALUE"""),"")</f>
        <v/>
      </c>
      <c r="H339" s="17" t="str">
        <v/>
      </c>
    </row>
    <row r="340" spans="5:8" ht="13.2">
      <c r="E340" s="17" t="str">
        <f ca="1">IFERROR(__xludf.DUMMYFUNCTION("""COMPUTED_VALUE"""),"")</f>
        <v/>
      </c>
      <c r="F340" s="17" t="str">
        <f ca="1">IFERROR(__xludf.DUMMYFUNCTION("""COMPUTED_VALUE"""),"")</f>
        <v/>
      </c>
      <c r="G340" s="17" t="str">
        <f ca="1">IFERROR(__xludf.DUMMYFUNCTION("""COMPUTED_VALUE"""),"")</f>
        <v/>
      </c>
      <c r="H340" s="17" t="str">
        <v/>
      </c>
    </row>
    <row r="341" spans="5:8" ht="13.2">
      <c r="E341" s="17" t="str">
        <f ca="1">IFERROR(__xludf.DUMMYFUNCTION("""COMPUTED_VALUE"""),"")</f>
        <v/>
      </c>
      <c r="F341" s="17" t="str">
        <f ca="1">IFERROR(__xludf.DUMMYFUNCTION("""COMPUTED_VALUE"""),"")</f>
        <v/>
      </c>
      <c r="G341" s="17" t="str">
        <f ca="1">IFERROR(__xludf.DUMMYFUNCTION("""COMPUTED_VALUE"""),"")</f>
        <v/>
      </c>
      <c r="H341" s="17" t="str">
        <v/>
      </c>
    </row>
    <row r="342" spans="5:8" ht="13.2">
      <c r="E342" s="17" t="str">
        <f ca="1">IFERROR(__xludf.DUMMYFUNCTION("""COMPUTED_VALUE"""),"")</f>
        <v/>
      </c>
      <c r="F342" s="17" t="str">
        <f ca="1">IFERROR(__xludf.DUMMYFUNCTION("""COMPUTED_VALUE"""),"")</f>
        <v/>
      </c>
      <c r="G342" s="17" t="str">
        <f ca="1">IFERROR(__xludf.DUMMYFUNCTION("""COMPUTED_VALUE"""),"")</f>
        <v/>
      </c>
      <c r="H342" s="17" t="str">
        <v/>
      </c>
    </row>
    <row r="343" spans="5:8" ht="13.2">
      <c r="E343" s="17" t="str">
        <f ca="1">IFERROR(__xludf.DUMMYFUNCTION("""COMPUTED_VALUE"""),"")</f>
        <v/>
      </c>
      <c r="F343" s="17" t="str">
        <f ca="1">IFERROR(__xludf.DUMMYFUNCTION("""COMPUTED_VALUE"""),"")</f>
        <v/>
      </c>
      <c r="G343" s="17" t="str">
        <f ca="1">IFERROR(__xludf.DUMMYFUNCTION("""COMPUTED_VALUE"""),"")</f>
        <v/>
      </c>
      <c r="H343" s="17" t="str">
        <v/>
      </c>
    </row>
    <row r="344" spans="5:8" ht="13.2">
      <c r="E344" s="17" t="str">
        <f ca="1">IFERROR(__xludf.DUMMYFUNCTION("""COMPUTED_VALUE"""),"")</f>
        <v/>
      </c>
      <c r="F344" s="17" t="str">
        <f ca="1">IFERROR(__xludf.DUMMYFUNCTION("""COMPUTED_VALUE"""),"")</f>
        <v/>
      </c>
      <c r="G344" s="17" t="str">
        <f ca="1">IFERROR(__xludf.DUMMYFUNCTION("""COMPUTED_VALUE"""),"")</f>
        <v/>
      </c>
      <c r="H344" s="17" t="str">
        <v/>
      </c>
    </row>
    <row r="345" spans="5:8" ht="13.2">
      <c r="E345" s="17" t="str">
        <f ca="1">IFERROR(__xludf.DUMMYFUNCTION("""COMPUTED_VALUE"""),"")</f>
        <v/>
      </c>
      <c r="F345" s="17" t="str">
        <f ca="1">IFERROR(__xludf.DUMMYFUNCTION("""COMPUTED_VALUE"""),"")</f>
        <v/>
      </c>
      <c r="G345" s="17" t="str">
        <f ca="1">IFERROR(__xludf.DUMMYFUNCTION("""COMPUTED_VALUE"""),"")</f>
        <v/>
      </c>
      <c r="H345" s="17" t="str">
        <v/>
      </c>
    </row>
    <row r="346" spans="5:8" ht="13.2">
      <c r="E346" s="17" t="str">
        <f ca="1">IFERROR(__xludf.DUMMYFUNCTION("""COMPUTED_VALUE"""),"")</f>
        <v/>
      </c>
      <c r="F346" s="17" t="str">
        <f ca="1">IFERROR(__xludf.DUMMYFUNCTION("""COMPUTED_VALUE"""),"")</f>
        <v/>
      </c>
      <c r="G346" s="17" t="str">
        <f ca="1">IFERROR(__xludf.DUMMYFUNCTION("""COMPUTED_VALUE"""),"")</f>
        <v/>
      </c>
      <c r="H346" s="17" t="str">
        <v/>
      </c>
    </row>
    <row r="347" spans="5:8" ht="13.2">
      <c r="E347" s="17" t="str">
        <f ca="1">IFERROR(__xludf.DUMMYFUNCTION("""COMPUTED_VALUE"""),"")</f>
        <v/>
      </c>
      <c r="F347" s="17" t="str">
        <f ca="1">IFERROR(__xludf.DUMMYFUNCTION("""COMPUTED_VALUE"""),"")</f>
        <v/>
      </c>
      <c r="G347" s="17" t="str">
        <f ca="1">IFERROR(__xludf.DUMMYFUNCTION("""COMPUTED_VALUE"""),"")</f>
        <v/>
      </c>
      <c r="H347" s="17" t="str">
        <v/>
      </c>
    </row>
    <row r="348" spans="5:8" ht="13.2">
      <c r="E348" s="17" t="str">
        <f ca="1">IFERROR(__xludf.DUMMYFUNCTION("""COMPUTED_VALUE"""),"")</f>
        <v/>
      </c>
      <c r="F348" s="17" t="str">
        <f ca="1">IFERROR(__xludf.DUMMYFUNCTION("""COMPUTED_VALUE"""),"")</f>
        <v/>
      </c>
      <c r="G348" s="17" t="str">
        <f ca="1">IFERROR(__xludf.DUMMYFUNCTION("""COMPUTED_VALUE"""),"")</f>
        <v/>
      </c>
      <c r="H348" s="17" t="str">
        <v/>
      </c>
    </row>
    <row r="349" spans="5:8" ht="13.2">
      <c r="E349" s="17" t="str">
        <f ca="1">IFERROR(__xludf.DUMMYFUNCTION("""COMPUTED_VALUE"""),"")</f>
        <v/>
      </c>
      <c r="F349" s="17" t="str">
        <f ca="1">IFERROR(__xludf.DUMMYFUNCTION("""COMPUTED_VALUE"""),"")</f>
        <v/>
      </c>
      <c r="G349" s="17" t="str">
        <f ca="1">IFERROR(__xludf.DUMMYFUNCTION("""COMPUTED_VALUE"""),"")</f>
        <v/>
      </c>
      <c r="H349" s="17" t="str">
        <v/>
      </c>
    </row>
    <row r="350" spans="5:8" ht="13.2">
      <c r="E350" s="17" t="str">
        <f ca="1">IFERROR(__xludf.DUMMYFUNCTION("""COMPUTED_VALUE"""),"")</f>
        <v/>
      </c>
      <c r="F350" s="17" t="str">
        <f ca="1">IFERROR(__xludf.DUMMYFUNCTION("""COMPUTED_VALUE"""),"")</f>
        <v/>
      </c>
      <c r="G350" s="17" t="str">
        <f ca="1">IFERROR(__xludf.DUMMYFUNCTION("""COMPUTED_VALUE"""),"")</f>
        <v/>
      </c>
      <c r="H350" s="17" t="str">
        <v/>
      </c>
    </row>
    <row r="351" spans="5:8" ht="13.2">
      <c r="E351" s="17" t="str">
        <f ca="1">IFERROR(__xludf.DUMMYFUNCTION("""COMPUTED_VALUE"""),"")</f>
        <v/>
      </c>
      <c r="F351" s="17" t="str">
        <f ca="1">IFERROR(__xludf.DUMMYFUNCTION("""COMPUTED_VALUE"""),"")</f>
        <v/>
      </c>
      <c r="G351" s="17" t="str">
        <f ca="1">IFERROR(__xludf.DUMMYFUNCTION("""COMPUTED_VALUE"""),"")</f>
        <v/>
      </c>
      <c r="H351" s="17" t="str">
        <v/>
      </c>
    </row>
    <row r="352" spans="5:8" ht="13.2">
      <c r="E352" s="17" t="str">
        <f ca="1">IFERROR(__xludf.DUMMYFUNCTION("""COMPUTED_VALUE"""),"")</f>
        <v/>
      </c>
      <c r="F352" s="17" t="str">
        <f ca="1">IFERROR(__xludf.DUMMYFUNCTION("""COMPUTED_VALUE"""),"")</f>
        <v/>
      </c>
      <c r="G352" s="17" t="str">
        <f ca="1">IFERROR(__xludf.DUMMYFUNCTION("""COMPUTED_VALUE"""),"")</f>
        <v/>
      </c>
      <c r="H352" s="17" t="str">
        <v/>
      </c>
    </row>
    <row r="353" spans="5:8" ht="13.2">
      <c r="E353" s="17" t="str">
        <f ca="1">IFERROR(__xludf.DUMMYFUNCTION("""COMPUTED_VALUE"""),"")</f>
        <v/>
      </c>
      <c r="F353" s="17" t="str">
        <f ca="1">IFERROR(__xludf.DUMMYFUNCTION("""COMPUTED_VALUE"""),"")</f>
        <v/>
      </c>
      <c r="G353" s="17" t="str">
        <f ca="1">IFERROR(__xludf.DUMMYFUNCTION("""COMPUTED_VALUE"""),"")</f>
        <v/>
      </c>
      <c r="H353" s="17" t="str">
        <v/>
      </c>
    </row>
    <row r="354" spans="5:8" ht="13.2">
      <c r="E354" s="17" t="str">
        <f ca="1">IFERROR(__xludf.DUMMYFUNCTION("""COMPUTED_VALUE"""),"")</f>
        <v/>
      </c>
      <c r="F354" s="17" t="str">
        <f ca="1">IFERROR(__xludf.DUMMYFUNCTION("""COMPUTED_VALUE"""),"")</f>
        <v/>
      </c>
      <c r="G354" s="17" t="str">
        <f ca="1">IFERROR(__xludf.DUMMYFUNCTION("""COMPUTED_VALUE"""),"")</f>
        <v/>
      </c>
      <c r="H354" s="17" t="str">
        <v/>
      </c>
    </row>
    <row r="355" spans="5:8" ht="13.2">
      <c r="E355" s="17" t="str">
        <f ca="1">IFERROR(__xludf.DUMMYFUNCTION("""COMPUTED_VALUE"""),"")</f>
        <v/>
      </c>
      <c r="F355" s="17" t="str">
        <f ca="1">IFERROR(__xludf.DUMMYFUNCTION("""COMPUTED_VALUE"""),"")</f>
        <v/>
      </c>
      <c r="G355" s="17" t="str">
        <f ca="1">IFERROR(__xludf.DUMMYFUNCTION("""COMPUTED_VALUE"""),"")</f>
        <v/>
      </c>
      <c r="H355" s="17" t="str">
        <v/>
      </c>
    </row>
    <row r="356" spans="5:8" ht="13.2">
      <c r="E356" s="17" t="str">
        <f ca="1">IFERROR(__xludf.DUMMYFUNCTION("""COMPUTED_VALUE"""),"")</f>
        <v/>
      </c>
      <c r="F356" s="17" t="str">
        <f ca="1">IFERROR(__xludf.DUMMYFUNCTION("""COMPUTED_VALUE"""),"")</f>
        <v/>
      </c>
      <c r="G356" s="17" t="str">
        <f ca="1">IFERROR(__xludf.DUMMYFUNCTION("""COMPUTED_VALUE"""),"")</f>
        <v/>
      </c>
      <c r="H356" s="17" t="str">
        <v/>
      </c>
    </row>
    <row r="357" spans="5:8" ht="13.2">
      <c r="E357" s="17" t="str">
        <f ca="1">IFERROR(__xludf.DUMMYFUNCTION("""COMPUTED_VALUE"""),"")</f>
        <v/>
      </c>
      <c r="F357" s="17" t="str">
        <f ca="1">IFERROR(__xludf.DUMMYFUNCTION("""COMPUTED_VALUE"""),"")</f>
        <v/>
      </c>
      <c r="G357" s="17" t="str">
        <f ca="1">IFERROR(__xludf.DUMMYFUNCTION("""COMPUTED_VALUE"""),"")</f>
        <v/>
      </c>
      <c r="H357" s="17" t="str">
        <v/>
      </c>
    </row>
    <row r="358" spans="5:8" ht="13.2">
      <c r="E358" s="17" t="str">
        <f ca="1">IFERROR(__xludf.DUMMYFUNCTION("""COMPUTED_VALUE"""),"")</f>
        <v/>
      </c>
      <c r="F358" s="17" t="str">
        <f ca="1">IFERROR(__xludf.DUMMYFUNCTION("""COMPUTED_VALUE"""),"")</f>
        <v/>
      </c>
      <c r="G358" s="17" t="str">
        <f ca="1">IFERROR(__xludf.DUMMYFUNCTION("""COMPUTED_VALUE"""),"")</f>
        <v/>
      </c>
      <c r="H358" s="17" t="str">
        <v/>
      </c>
    </row>
    <row r="359" spans="5:8" ht="13.2">
      <c r="E359" s="17" t="str">
        <f ca="1">IFERROR(__xludf.DUMMYFUNCTION("""COMPUTED_VALUE"""),"")</f>
        <v/>
      </c>
      <c r="F359" s="17" t="str">
        <f ca="1">IFERROR(__xludf.DUMMYFUNCTION("""COMPUTED_VALUE"""),"")</f>
        <v/>
      </c>
      <c r="G359" s="17" t="str">
        <f ca="1">IFERROR(__xludf.DUMMYFUNCTION("""COMPUTED_VALUE"""),"")</f>
        <v/>
      </c>
      <c r="H359" s="17" t="str">
        <v/>
      </c>
    </row>
    <row r="360" spans="5:8" ht="13.2">
      <c r="E360" s="17" t="str">
        <f ca="1">IFERROR(__xludf.DUMMYFUNCTION("""COMPUTED_VALUE"""),"")</f>
        <v/>
      </c>
      <c r="F360" s="17" t="str">
        <f ca="1">IFERROR(__xludf.DUMMYFUNCTION("""COMPUTED_VALUE"""),"")</f>
        <v/>
      </c>
      <c r="G360" s="17" t="str">
        <f ca="1">IFERROR(__xludf.DUMMYFUNCTION("""COMPUTED_VALUE"""),"")</f>
        <v/>
      </c>
      <c r="H360" s="17" t="str">
        <v/>
      </c>
    </row>
    <row r="361" spans="5:8" ht="13.2">
      <c r="E361" s="17" t="str">
        <f ca="1">IFERROR(__xludf.DUMMYFUNCTION("""COMPUTED_VALUE"""),"")</f>
        <v/>
      </c>
      <c r="F361" s="17" t="str">
        <f ca="1">IFERROR(__xludf.DUMMYFUNCTION("""COMPUTED_VALUE"""),"")</f>
        <v/>
      </c>
      <c r="G361" s="17" t="str">
        <f ca="1">IFERROR(__xludf.DUMMYFUNCTION("""COMPUTED_VALUE"""),"")</f>
        <v/>
      </c>
      <c r="H361" s="17" t="str">
        <v/>
      </c>
    </row>
    <row r="362" spans="5:8" ht="13.2">
      <c r="E362" s="17" t="str">
        <f ca="1">IFERROR(__xludf.DUMMYFUNCTION("""COMPUTED_VALUE"""),"")</f>
        <v/>
      </c>
      <c r="F362" s="17" t="str">
        <f ca="1">IFERROR(__xludf.DUMMYFUNCTION("""COMPUTED_VALUE"""),"")</f>
        <v/>
      </c>
      <c r="G362" s="17" t="str">
        <f ca="1">IFERROR(__xludf.DUMMYFUNCTION("""COMPUTED_VALUE"""),"")</f>
        <v/>
      </c>
      <c r="H362" s="17" t="str">
        <v/>
      </c>
    </row>
    <row r="363" spans="5:8" ht="13.2">
      <c r="E363" s="17" t="str">
        <f ca="1">IFERROR(__xludf.DUMMYFUNCTION("""COMPUTED_VALUE"""),"")</f>
        <v/>
      </c>
      <c r="F363" s="17" t="str">
        <f ca="1">IFERROR(__xludf.DUMMYFUNCTION("""COMPUTED_VALUE"""),"")</f>
        <v/>
      </c>
      <c r="G363" s="17" t="str">
        <f ca="1">IFERROR(__xludf.DUMMYFUNCTION("""COMPUTED_VALUE"""),"")</f>
        <v/>
      </c>
      <c r="H363" s="17" t="str">
        <v/>
      </c>
    </row>
    <row r="364" spans="5:8" ht="13.2">
      <c r="E364" s="17" t="str">
        <f ca="1">IFERROR(__xludf.DUMMYFUNCTION("""COMPUTED_VALUE"""),"")</f>
        <v/>
      </c>
      <c r="F364" s="17" t="str">
        <f ca="1">IFERROR(__xludf.DUMMYFUNCTION("""COMPUTED_VALUE"""),"")</f>
        <v/>
      </c>
      <c r="G364" s="17" t="str">
        <f ca="1">IFERROR(__xludf.DUMMYFUNCTION("""COMPUTED_VALUE"""),"")</f>
        <v/>
      </c>
      <c r="H364" s="17" t="str">
        <v/>
      </c>
    </row>
    <row r="365" spans="5:8" ht="13.2">
      <c r="E365" s="17" t="str">
        <f ca="1">IFERROR(__xludf.DUMMYFUNCTION("""COMPUTED_VALUE"""),"")</f>
        <v/>
      </c>
      <c r="F365" s="17" t="str">
        <f ca="1">IFERROR(__xludf.DUMMYFUNCTION("""COMPUTED_VALUE"""),"")</f>
        <v/>
      </c>
      <c r="G365" s="17" t="str">
        <f ca="1">IFERROR(__xludf.DUMMYFUNCTION("""COMPUTED_VALUE"""),"")</f>
        <v/>
      </c>
      <c r="H365" s="17" t="str">
        <v/>
      </c>
    </row>
    <row r="366" spans="5:8" ht="13.2">
      <c r="E366" s="17" t="str">
        <f ca="1">IFERROR(__xludf.DUMMYFUNCTION("""COMPUTED_VALUE"""),"")</f>
        <v/>
      </c>
      <c r="F366" s="17" t="str">
        <f ca="1">IFERROR(__xludf.DUMMYFUNCTION("""COMPUTED_VALUE"""),"")</f>
        <v/>
      </c>
      <c r="G366" s="17" t="str">
        <f ca="1">IFERROR(__xludf.DUMMYFUNCTION("""COMPUTED_VALUE"""),"")</f>
        <v/>
      </c>
      <c r="H366" s="17" t="str">
        <v/>
      </c>
    </row>
    <row r="367" spans="5:8" ht="13.2">
      <c r="E367" s="17" t="str">
        <f ca="1">IFERROR(__xludf.DUMMYFUNCTION("""COMPUTED_VALUE"""),"")</f>
        <v/>
      </c>
      <c r="F367" s="17" t="str">
        <f ca="1">IFERROR(__xludf.DUMMYFUNCTION("""COMPUTED_VALUE"""),"")</f>
        <v/>
      </c>
      <c r="G367" s="17" t="str">
        <f ca="1">IFERROR(__xludf.DUMMYFUNCTION("""COMPUTED_VALUE"""),"")</f>
        <v/>
      </c>
      <c r="H367" s="17" t="str">
        <v/>
      </c>
    </row>
    <row r="368" spans="5:8" ht="13.2">
      <c r="E368" s="17" t="str">
        <f ca="1">IFERROR(__xludf.DUMMYFUNCTION("""COMPUTED_VALUE"""),"")</f>
        <v/>
      </c>
      <c r="F368" s="17" t="str">
        <f ca="1">IFERROR(__xludf.DUMMYFUNCTION("""COMPUTED_VALUE"""),"")</f>
        <v/>
      </c>
      <c r="G368" s="17" t="str">
        <f ca="1">IFERROR(__xludf.DUMMYFUNCTION("""COMPUTED_VALUE"""),"")</f>
        <v/>
      </c>
      <c r="H368" s="17" t="str">
        <v/>
      </c>
    </row>
    <row r="369" spans="5:8" ht="13.2">
      <c r="E369" s="17" t="str">
        <f ca="1">IFERROR(__xludf.DUMMYFUNCTION("""COMPUTED_VALUE"""),"")</f>
        <v/>
      </c>
      <c r="F369" s="17" t="str">
        <f ca="1">IFERROR(__xludf.DUMMYFUNCTION("""COMPUTED_VALUE"""),"")</f>
        <v/>
      </c>
      <c r="G369" s="17" t="str">
        <f ca="1">IFERROR(__xludf.DUMMYFUNCTION("""COMPUTED_VALUE"""),"")</f>
        <v/>
      </c>
      <c r="H369" s="17" t="str">
        <v/>
      </c>
    </row>
    <row r="370" spans="5:8" ht="13.2">
      <c r="E370" s="17" t="str">
        <f ca="1">IFERROR(__xludf.DUMMYFUNCTION("""COMPUTED_VALUE"""),"")</f>
        <v/>
      </c>
      <c r="F370" s="17" t="str">
        <f ca="1">IFERROR(__xludf.DUMMYFUNCTION("""COMPUTED_VALUE"""),"")</f>
        <v/>
      </c>
      <c r="G370" s="17" t="str">
        <f ca="1">IFERROR(__xludf.DUMMYFUNCTION("""COMPUTED_VALUE"""),"")</f>
        <v/>
      </c>
      <c r="H370" s="17" t="str">
        <v/>
      </c>
    </row>
    <row r="371" spans="5:8" ht="13.2">
      <c r="E371" s="17" t="str">
        <f ca="1">IFERROR(__xludf.DUMMYFUNCTION("""COMPUTED_VALUE"""),"")</f>
        <v/>
      </c>
      <c r="F371" s="17" t="str">
        <f ca="1">IFERROR(__xludf.DUMMYFUNCTION("""COMPUTED_VALUE"""),"")</f>
        <v/>
      </c>
      <c r="G371" s="17" t="str">
        <f ca="1">IFERROR(__xludf.DUMMYFUNCTION("""COMPUTED_VALUE"""),"")</f>
        <v/>
      </c>
      <c r="H371" s="17" t="str">
        <v/>
      </c>
    </row>
    <row r="372" spans="5:8" ht="13.2">
      <c r="E372" s="17" t="str">
        <f ca="1">IFERROR(__xludf.DUMMYFUNCTION("""COMPUTED_VALUE"""),"")</f>
        <v/>
      </c>
      <c r="F372" s="17" t="str">
        <f ca="1">IFERROR(__xludf.DUMMYFUNCTION("""COMPUTED_VALUE"""),"")</f>
        <v/>
      </c>
      <c r="G372" s="17" t="str">
        <f ca="1">IFERROR(__xludf.DUMMYFUNCTION("""COMPUTED_VALUE"""),"")</f>
        <v/>
      </c>
      <c r="H372" s="17" t="str">
        <v/>
      </c>
    </row>
    <row r="373" spans="5:8" ht="13.2">
      <c r="E373" s="17" t="str">
        <f ca="1">IFERROR(__xludf.DUMMYFUNCTION("""COMPUTED_VALUE"""),"")</f>
        <v/>
      </c>
      <c r="F373" s="17" t="str">
        <f ca="1">IFERROR(__xludf.DUMMYFUNCTION("""COMPUTED_VALUE"""),"")</f>
        <v/>
      </c>
      <c r="G373" s="17" t="str">
        <f ca="1">IFERROR(__xludf.DUMMYFUNCTION("""COMPUTED_VALUE"""),"")</f>
        <v/>
      </c>
      <c r="H373" s="17" t="str">
        <v/>
      </c>
    </row>
    <row r="374" spans="5:8" ht="13.2">
      <c r="E374" s="17" t="str">
        <f ca="1">IFERROR(__xludf.DUMMYFUNCTION("""COMPUTED_VALUE"""),"")</f>
        <v/>
      </c>
      <c r="F374" s="17" t="str">
        <f ca="1">IFERROR(__xludf.DUMMYFUNCTION("""COMPUTED_VALUE"""),"")</f>
        <v/>
      </c>
      <c r="G374" s="17" t="str">
        <f ca="1">IFERROR(__xludf.DUMMYFUNCTION("""COMPUTED_VALUE"""),"")</f>
        <v/>
      </c>
      <c r="H374" s="17" t="str">
        <v/>
      </c>
    </row>
    <row r="375" spans="5:8" ht="13.2">
      <c r="E375" s="17" t="str">
        <f ca="1">IFERROR(__xludf.DUMMYFUNCTION("""COMPUTED_VALUE"""),"")</f>
        <v/>
      </c>
      <c r="F375" s="17" t="str">
        <f ca="1">IFERROR(__xludf.DUMMYFUNCTION("""COMPUTED_VALUE"""),"")</f>
        <v/>
      </c>
      <c r="G375" s="17" t="str">
        <f ca="1">IFERROR(__xludf.DUMMYFUNCTION("""COMPUTED_VALUE"""),"")</f>
        <v/>
      </c>
      <c r="H375" s="17" t="str">
        <v/>
      </c>
    </row>
    <row r="376" spans="5:8" ht="13.2">
      <c r="E376" s="17" t="str">
        <f ca="1">IFERROR(__xludf.DUMMYFUNCTION("""COMPUTED_VALUE"""),"")</f>
        <v/>
      </c>
      <c r="F376" s="17" t="str">
        <f ca="1">IFERROR(__xludf.DUMMYFUNCTION("""COMPUTED_VALUE"""),"")</f>
        <v/>
      </c>
      <c r="G376" s="17" t="str">
        <f ca="1">IFERROR(__xludf.DUMMYFUNCTION("""COMPUTED_VALUE"""),"")</f>
        <v/>
      </c>
      <c r="H376" s="17" t="str">
        <v/>
      </c>
    </row>
    <row r="377" spans="5:8" ht="13.2">
      <c r="E377" s="17" t="str">
        <f ca="1">IFERROR(__xludf.DUMMYFUNCTION("""COMPUTED_VALUE"""),"")</f>
        <v/>
      </c>
      <c r="F377" s="17" t="str">
        <f ca="1">IFERROR(__xludf.DUMMYFUNCTION("""COMPUTED_VALUE"""),"")</f>
        <v/>
      </c>
      <c r="G377" s="17" t="str">
        <f ca="1">IFERROR(__xludf.DUMMYFUNCTION("""COMPUTED_VALUE"""),"")</f>
        <v/>
      </c>
      <c r="H377" s="17" t="str">
        <v/>
      </c>
    </row>
    <row r="378" spans="5:8" ht="13.2">
      <c r="E378" s="17" t="str">
        <f ca="1">IFERROR(__xludf.DUMMYFUNCTION("""COMPUTED_VALUE"""),"")</f>
        <v/>
      </c>
      <c r="F378" s="17" t="str">
        <f ca="1">IFERROR(__xludf.DUMMYFUNCTION("""COMPUTED_VALUE"""),"")</f>
        <v/>
      </c>
      <c r="G378" s="17" t="str">
        <f ca="1">IFERROR(__xludf.DUMMYFUNCTION("""COMPUTED_VALUE"""),"")</f>
        <v/>
      </c>
      <c r="H378" s="17" t="str">
        <v/>
      </c>
    </row>
    <row r="379" spans="5:8" ht="13.2">
      <c r="E379" s="17" t="str">
        <f ca="1">IFERROR(__xludf.DUMMYFUNCTION("""COMPUTED_VALUE"""),"")</f>
        <v/>
      </c>
      <c r="F379" s="17" t="str">
        <f ca="1">IFERROR(__xludf.DUMMYFUNCTION("""COMPUTED_VALUE"""),"")</f>
        <v/>
      </c>
      <c r="G379" s="17" t="str">
        <f ca="1">IFERROR(__xludf.DUMMYFUNCTION("""COMPUTED_VALUE"""),"")</f>
        <v/>
      </c>
      <c r="H379" s="17" t="str">
        <v/>
      </c>
    </row>
    <row r="380" spans="5:8" ht="13.2">
      <c r="E380" s="17" t="str">
        <f ca="1">IFERROR(__xludf.DUMMYFUNCTION("""COMPUTED_VALUE"""),"")</f>
        <v/>
      </c>
      <c r="F380" s="17" t="str">
        <f ca="1">IFERROR(__xludf.DUMMYFUNCTION("""COMPUTED_VALUE"""),"")</f>
        <v/>
      </c>
      <c r="G380" s="17" t="str">
        <f ca="1">IFERROR(__xludf.DUMMYFUNCTION("""COMPUTED_VALUE"""),"")</f>
        <v/>
      </c>
      <c r="H380" s="17" t="str">
        <v/>
      </c>
    </row>
    <row r="381" spans="5:8" ht="13.2">
      <c r="E381" s="17" t="str">
        <f ca="1">IFERROR(__xludf.DUMMYFUNCTION("""COMPUTED_VALUE"""),"")</f>
        <v/>
      </c>
      <c r="F381" s="17" t="str">
        <f ca="1">IFERROR(__xludf.DUMMYFUNCTION("""COMPUTED_VALUE"""),"")</f>
        <v/>
      </c>
      <c r="G381" s="17" t="str">
        <f ca="1">IFERROR(__xludf.DUMMYFUNCTION("""COMPUTED_VALUE"""),"")</f>
        <v/>
      </c>
      <c r="H381" s="17" t="str">
        <v/>
      </c>
    </row>
    <row r="382" spans="5:8" ht="13.2">
      <c r="E382" s="17" t="str">
        <f ca="1">IFERROR(__xludf.DUMMYFUNCTION("""COMPUTED_VALUE"""),"")</f>
        <v/>
      </c>
      <c r="F382" s="17" t="str">
        <f ca="1">IFERROR(__xludf.DUMMYFUNCTION("""COMPUTED_VALUE"""),"")</f>
        <v/>
      </c>
      <c r="G382" s="17" t="str">
        <f ca="1">IFERROR(__xludf.DUMMYFUNCTION("""COMPUTED_VALUE"""),"")</f>
        <v/>
      </c>
      <c r="H382" s="17" t="str">
        <v/>
      </c>
    </row>
    <row r="383" spans="5:8" ht="13.2">
      <c r="E383" s="17" t="str">
        <f ca="1">IFERROR(__xludf.DUMMYFUNCTION("""COMPUTED_VALUE"""),"")</f>
        <v/>
      </c>
      <c r="F383" s="17" t="str">
        <f ca="1">IFERROR(__xludf.DUMMYFUNCTION("""COMPUTED_VALUE"""),"")</f>
        <v/>
      </c>
      <c r="G383" s="17" t="str">
        <f ca="1">IFERROR(__xludf.DUMMYFUNCTION("""COMPUTED_VALUE"""),"")</f>
        <v/>
      </c>
      <c r="H383" s="17" t="str">
        <v/>
      </c>
    </row>
    <row r="384" spans="5:8" ht="13.2">
      <c r="E384" s="17" t="str">
        <f ca="1">IFERROR(__xludf.DUMMYFUNCTION("""COMPUTED_VALUE"""),"")</f>
        <v/>
      </c>
      <c r="F384" s="17" t="str">
        <f ca="1">IFERROR(__xludf.DUMMYFUNCTION("""COMPUTED_VALUE"""),"")</f>
        <v/>
      </c>
      <c r="G384" s="17" t="str">
        <f ca="1">IFERROR(__xludf.DUMMYFUNCTION("""COMPUTED_VALUE"""),"")</f>
        <v/>
      </c>
      <c r="H384" s="17" t="str">
        <v/>
      </c>
    </row>
    <row r="385" spans="5:8" ht="13.2">
      <c r="E385" s="17" t="str">
        <f ca="1">IFERROR(__xludf.DUMMYFUNCTION("""COMPUTED_VALUE"""),"")</f>
        <v/>
      </c>
      <c r="F385" s="17" t="str">
        <f ca="1">IFERROR(__xludf.DUMMYFUNCTION("""COMPUTED_VALUE"""),"")</f>
        <v/>
      </c>
      <c r="G385" s="17" t="str">
        <f ca="1">IFERROR(__xludf.DUMMYFUNCTION("""COMPUTED_VALUE"""),"")</f>
        <v/>
      </c>
      <c r="H385" s="17" t="str">
        <v/>
      </c>
    </row>
    <row r="386" spans="5:8" ht="13.2">
      <c r="E386" s="17" t="str">
        <f ca="1">IFERROR(__xludf.DUMMYFUNCTION("""COMPUTED_VALUE"""),"")</f>
        <v/>
      </c>
      <c r="F386" s="17" t="str">
        <f ca="1">IFERROR(__xludf.DUMMYFUNCTION("""COMPUTED_VALUE"""),"")</f>
        <v/>
      </c>
      <c r="G386" s="17" t="str">
        <f ca="1">IFERROR(__xludf.DUMMYFUNCTION("""COMPUTED_VALUE"""),"")</f>
        <v/>
      </c>
      <c r="H386" s="17" t="str">
        <v/>
      </c>
    </row>
    <row r="387" spans="5:8" ht="13.2">
      <c r="E387" s="17" t="str">
        <f ca="1">IFERROR(__xludf.DUMMYFUNCTION("""COMPUTED_VALUE"""),"")</f>
        <v/>
      </c>
      <c r="F387" s="17" t="str">
        <f ca="1">IFERROR(__xludf.DUMMYFUNCTION("""COMPUTED_VALUE"""),"")</f>
        <v/>
      </c>
      <c r="G387" s="17" t="str">
        <f ca="1">IFERROR(__xludf.DUMMYFUNCTION("""COMPUTED_VALUE"""),"")</f>
        <v/>
      </c>
      <c r="H387" s="17" t="str">
        <v/>
      </c>
    </row>
    <row r="388" spans="5:8" ht="13.2">
      <c r="E388" s="17" t="str">
        <f ca="1">IFERROR(__xludf.DUMMYFUNCTION("""COMPUTED_VALUE"""),"")</f>
        <v/>
      </c>
      <c r="F388" s="17" t="str">
        <f ca="1">IFERROR(__xludf.DUMMYFUNCTION("""COMPUTED_VALUE"""),"")</f>
        <v/>
      </c>
      <c r="G388" s="17" t="str">
        <f ca="1">IFERROR(__xludf.DUMMYFUNCTION("""COMPUTED_VALUE"""),"")</f>
        <v/>
      </c>
      <c r="H388" s="17" t="str">
        <v/>
      </c>
    </row>
    <row r="389" spans="5:8" ht="13.2">
      <c r="E389" s="17" t="str">
        <f ca="1">IFERROR(__xludf.DUMMYFUNCTION("""COMPUTED_VALUE"""),"")</f>
        <v/>
      </c>
      <c r="F389" s="17" t="str">
        <f ca="1">IFERROR(__xludf.DUMMYFUNCTION("""COMPUTED_VALUE"""),"")</f>
        <v/>
      </c>
      <c r="G389" s="17" t="str">
        <f ca="1">IFERROR(__xludf.DUMMYFUNCTION("""COMPUTED_VALUE"""),"")</f>
        <v/>
      </c>
      <c r="H389" s="17" t="str">
        <v/>
      </c>
    </row>
    <row r="390" spans="5:8" ht="13.2">
      <c r="E390" s="17" t="str">
        <f ca="1">IFERROR(__xludf.DUMMYFUNCTION("""COMPUTED_VALUE"""),"")</f>
        <v/>
      </c>
      <c r="F390" s="17" t="str">
        <f ca="1">IFERROR(__xludf.DUMMYFUNCTION("""COMPUTED_VALUE"""),"")</f>
        <v/>
      </c>
      <c r="G390" s="17" t="str">
        <f ca="1">IFERROR(__xludf.DUMMYFUNCTION("""COMPUTED_VALUE"""),"")</f>
        <v/>
      </c>
      <c r="H390" s="17" t="str">
        <v/>
      </c>
    </row>
    <row r="391" spans="5:8" ht="13.2">
      <c r="E391" s="17" t="str">
        <f ca="1">IFERROR(__xludf.DUMMYFUNCTION("""COMPUTED_VALUE"""),"")</f>
        <v/>
      </c>
      <c r="F391" s="17" t="str">
        <f ca="1">IFERROR(__xludf.DUMMYFUNCTION("""COMPUTED_VALUE"""),"")</f>
        <v/>
      </c>
      <c r="G391" s="17" t="str">
        <f ca="1">IFERROR(__xludf.DUMMYFUNCTION("""COMPUTED_VALUE"""),"")</f>
        <v/>
      </c>
      <c r="H391" s="17" t="str">
        <v/>
      </c>
    </row>
    <row r="392" spans="5:8" ht="13.2">
      <c r="E392" s="17" t="str">
        <f ca="1">IFERROR(__xludf.DUMMYFUNCTION("""COMPUTED_VALUE"""),"")</f>
        <v/>
      </c>
      <c r="F392" s="17" t="str">
        <f ca="1">IFERROR(__xludf.DUMMYFUNCTION("""COMPUTED_VALUE"""),"")</f>
        <v/>
      </c>
      <c r="G392" s="17" t="str">
        <f ca="1">IFERROR(__xludf.DUMMYFUNCTION("""COMPUTED_VALUE"""),"")</f>
        <v/>
      </c>
      <c r="H392" s="17" t="str">
        <v/>
      </c>
    </row>
    <row r="393" spans="5:8" ht="13.2">
      <c r="E393" s="17" t="str">
        <f ca="1">IFERROR(__xludf.DUMMYFUNCTION("""COMPUTED_VALUE"""),"")</f>
        <v/>
      </c>
      <c r="F393" s="17" t="str">
        <f ca="1">IFERROR(__xludf.DUMMYFUNCTION("""COMPUTED_VALUE"""),"")</f>
        <v/>
      </c>
      <c r="G393" s="17" t="str">
        <f ca="1">IFERROR(__xludf.DUMMYFUNCTION("""COMPUTED_VALUE"""),"")</f>
        <v/>
      </c>
      <c r="H393" s="17" t="str">
        <v/>
      </c>
    </row>
    <row r="394" spans="5:8" ht="13.2">
      <c r="E394" s="17" t="str">
        <f ca="1">IFERROR(__xludf.DUMMYFUNCTION("""COMPUTED_VALUE"""),"")</f>
        <v/>
      </c>
      <c r="F394" s="17" t="str">
        <f ca="1">IFERROR(__xludf.DUMMYFUNCTION("""COMPUTED_VALUE"""),"")</f>
        <v/>
      </c>
      <c r="G394" s="17" t="str">
        <f ca="1">IFERROR(__xludf.DUMMYFUNCTION("""COMPUTED_VALUE"""),"")</f>
        <v/>
      </c>
      <c r="H394" s="17" t="str">
        <v/>
      </c>
    </row>
    <row r="395" spans="5:8" ht="13.2">
      <c r="E395" s="17" t="str">
        <f ca="1">IFERROR(__xludf.DUMMYFUNCTION("""COMPUTED_VALUE"""),"")</f>
        <v/>
      </c>
      <c r="F395" s="17" t="str">
        <f ca="1">IFERROR(__xludf.DUMMYFUNCTION("""COMPUTED_VALUE"""),"")</f>
        <v/>
      </c>
      <c r="G395" s="17" t="str">
        <f ca="1">IFERROR(__xludf.DUMMYFUNCTION("""COMPUTED_VALUE"""),"")</f>
        <v/>
      </c>
      <c r="H395" s="17" t="str">
        <v/>
      </c>
    </row>
    <row r="396" spans="5:8" ht="13.2">
      <c r="E396" s="17" t="str">
        <f ca="1">IFERROR(__xludf.DUMMYFUNCTION("""COMPUTED_VALUE"""),"")</f>
        <v/>
      </c>
      <c r="F396" s="17" t="str">
        <f ca="1">IFERROR(__xludf.DUMMYFUNCTION("""COMPUTED_VALUE"""),"")</f>
        <v/>
      </c>
      <c r="G396" s="17" t="str">
        <f ca="1">IFERROR(__xludf.DUMMYFUNCTION("""COMPUTED_VALUE"""),"")</f>
        <v/>
      </c>
      <c r="H396" s="17" t="str">
        <v/>
      </c>
    </row>
    <row r="397" spans="5:8" ht="13.2">
      <c r="E397" s="17" t="str">
        <f ca="1">IFERROR(__xludf.DUMMYFUNCTION("""COMPUTED_VALUE"""),"")</f>
        <v/>
      </c>
      <c r="F397" s="17" t="str">
        <f ca="1">IFERROR(__xludf.DUMMYFUNCTION("""COMPUTED_VALUE"""),"")</f>
        <v/>
      </c>
      <c r="G397" s="17" t="str">
        <f ca="1">IFERROR(__xludf.DUMMYFUNCTION("""COMPUTED_VALUE"""),"")</f>
        <v/>
      </c>
      <c r="H397" s="17" t="str">
        <v/>
      </c>
    </row>
    <row r="398" spans="5:8" ht="13.2">
      <c r="E398" s="17" t="str">
        <f ca="1">IFERROR(__xludf.DUMMYFUNCTION("""COMPUTED_VALUE"""),"")</f>
        <v/>
      </c>
      <c r="F398" s="17" t="str">
        <f ca="1">IFERROR(__xludf.DUMMYFUNCTION("""COMPUTED_VALUE"""),"")</f>
        <v/>
      </c>
      <c r="G398" s="17" t="str">
        <f ca="1">IFERROR(__xludf.DUMMYFUNCTION("""COMPUTED_VALUE"""),"")</f>
        <v/>
      </c>
      <c r="H398" s="17" t="str">
        <v/>
      </c>
    </row>
    <row r="399" spans="5:8" ht="13.2">
      <c r="E399" s="17" t="str">
        <f ca="1">IFERROR(__xludf.DUMMYFUNCTION("""COMPUTED_VALUE"""),"")</f>
        <v/>
      </c>
      <c r="F399" s="17" t="str">
        <f ca="1">IFERROR(__xludf.DUMMYFUNCTION("""COMPUTED_VALUE"""),"")</f>
        <v/>
      </c>
      <c r="G399" s="17" t="str">
        <f ca="1">IFERROR(__xludf.DUMMYFUNCTION("""COMPUTED_VALUE"""),"")</f>
        <v/>
      </c>
      <c r="H399" s="17" t="str">
        <v/>
      </c>
    </row>
    <row r="400" spans="5:8" ht="13.2">
      <c r="E400" s="17" t="str">
        <f ca="1">IFERROR(__xludf.DUMMYFUNCTION("""COMPUTED_VALUE"""),"")</f>
        <v/>
      </c>
      <c r="F400" s="17" t="str">
        <f ca="1">IFERROR(__xludf.DUMMYFUNCTION("""COMPUTED_VALUE"""),"")</f>
        <v/>
      </c>
      <c r="G400" s="17" t="str">
        <f ca="1">IFERROR(__xludf.DUMMYFUNCTION("""COMPUTED_VALUE"""),"")</f>
        <v/>
      </c>
      <c r="H400" s="17" t="str">
        <v/>
      </c>
    </row>
    <row r="401" spans="5:8" ht="13.2">
      <c r="E401" s="17" t="str">
        <f ca="1">IFERROR(__xludf.DUMMYFUNCTION("""COMPUTED_VALUE"""),"")</f>
        <v/>
      </c>
      <c r="F401" s="17" t="str">
        <f ca="1">IFERROR(__xludf.DUMMYFUNCTION("""COMPUTED_VALUE"""),"")</f>
        <v/>
      </c>
      <c r="G401" s="17" t="str">
        <f ca="1">IFERROR(__xludf.DUMMYFUNCTION("""COMPUTED_VALUE"""),"")</f>
        <v/>
      </c>
      <c r="H401" s="17" t="str">
        <v/>
      </c>
    </row>
    <row r="402" spans="5:8" ht="13.2">
      <c r="E402" s="17" t="str">
        <f ca="1">IFERROR(__xludf.DUMMYFUNCTION("""COMPUTED_VALUE"""),"")</f>
        <v/>
      </c>
      <c r="F402" s="17" t="str">
        <f ca="1">IFERROR(__xludf.DUMMYFUNCTION("""COMPUTED_VALUE"""),"")</f>
        <v/>
      </c>
      <c r="G402" s="17" t="str">
        <f ca="1">IFERROR(__xludf.DUMMYFUNCTION("""COMPUTED_VALUE"""),"")</f>
        <v/>
      </c>
      <c r="H402" s="17" t="str">
        <v/>
      </c>
    </row>
    <row r="403" spans="5:8" ht="13.2">
      <c r="E403" s="17" t="str">
        <f ca="1">IFERROR(__xludf.DUMMYFUNCTION("""COMPUTED_VALUE"""),"")</f>
        <v/>
      </c>
      <c r="F403" s="17" t="str">
        <f ca="1">IFERROR(__xludf.DUMMYFUNCTION("""COMPUTED_VALUE"""),"")</f>
        <v/>
      </c>
      <c r="G403" s="17" t="str">
        <f ca="1">IFERROR(__xludf.DUMMYFUNCTION("""COMPUTED_VALUE"""),"")</f>
        <v/>
      </c>
      <c r="H403" s="17" t="str">
        <v/>
      </c>
    </row>
    <row r="404" spans="5:8" ht="13.2">
      <c r="E404" s="17" t="str">
        <f ca="1">IFERROR(__xludf.DUMMYFUNCTION("""COMPUTED_VALUE"""),"")</f>
        <v/>
      </c>
      <c r="F404" s="17" t="str">
        <f ca="1">IFERROR(__xludf.DUMMYFUNCTION("""COMPUTED_VALUE"""),"")</f>
        <v/>
      </c>
      <c r="G404" s="17" t="str">
        <f ca="1">IFERROR(__xludf.DUMMYFUNCTION("""COMPUTED_VALUE"""),"")</f>
        <v/>
      </c>
      <c r="H404" s="17" t="str">
        <v/>
      </c>
    </row>
    <row r="405" spans="5:8" ht="13.2">
      <c r="E405" s="17" t="str">
        <f ca="1">IFERROR(__xludf.DUMMYFUNCTION("""COMPUTED_VALUE"""),"")</f>
        <v/>
      </c>
      <c r="F405" s="17" t="str">
        <f ca="1">IFERROR(__xludf.DUMMYFUNCTION("""COMPUTED_VALUE"""),"")</f>
        <v/>
      </c>
      <c r="G405" s="17" t="str">
        <f ca="1">IFERROR(__xludf.DUMMYFUNCTION("""COMPUTED_VALUE"""),"")</f>
        <v/>
      </c>
      <c r="H405" s="17" t="str">
        <v/>
      </c>
    </row>
    <row r="406" spans="5:8" ht="13.2">
      <c r="E406" s="17" t="str">
        <f ca="1">IFERROR(__xludf.DUMMYFUNCTION("""COMPUTED_VALUE"""),"")</f>
        <v/>
      </c>
      <c r="F406" s="17" t="str">
        <f ca="1">IFERROR(__xludf.DUMMYFUNCTION("""COMPUTED_VALUE"""),"")</f>
        <v/>
      </c>
      <c r="G406" s="17" t="str">
        <f ca="1">IFERROR(__xludf.DUMMYFUNCTION("""COMPUTED_VALUE"""),"")</f>
        <v/>
      </c>
      <c r="H406" s="17" t="str">
        <v/>
      </c>
    </row>
    <row r="407" spans="5:8" ht="13.2">
      <c r="E407" s="17" t="str">
        <f ca="1">IFERROR(__xludf.DUMMYFUNCTION("""COMPUTED_VALUE"""),"")</f>
        <v/>
      </c>
      <c r="F407" s="17" t="str">
        <f ca="1">IFERROR(__xludf.DUMMYFUNCTION("""COMPUTED_VALUE"""),"")</f>
        <v/>
      </c>
      <c r="G407" s="17" t="str">
        <f ca="1">IFERROR(__xludf.DUMMYFUNCTION("""COMPUTED_VALUE"""),"")</f>
        <v/>
      </c>
      <c r="H407" s="17" t="str">
        <v/>
      </c>
    </row>
    <row r="408" spans="5:8" ht="13.2">
      <c r="E408" s="17" t="str">
        <f ca="1">IFERROR(__xludf.DUMMYFUNCTION("""COMPUTED_VALUE"""),"")</f>
        <v/>
      </c>
      <c r="F408" s="17" t="str">
        <f ca="1">IFERROR(__xludf.DUMMYFUNCTION("""COMPUTED_VALUE"""),"")</f>
        <v/>
      </c>
      <c r="G408" s="17" t="str">
        <f ca="1">IFERROR(__xludf.DUMMYFUNCTION("""COMPUTED_VALUE"""),"")</f>
        <v/>
      </c>
      <c r="H408" s="17" t="str">
        <v/>
      </c>
    </row>
    <row r="409" spans="5:8" ht="13.2">
      <c r="E409" s="17" t="str">
        <f ca="1">IFERROR(__xludf.DUMMYFUNCTION("""COMPUTED_VALUE"""),"")</f>
        <v/>
      </c>
      <c r="F409" s="17" t="str">
        <f ca="1">IFERROR(__xludf.DUMMYFUNCTION("""COMPUTED_VALUE"""),"")</f>
        <v/>
      </c>
      <c r="G409" s="17" t="str">
        <f ca="1">IFERROR(__xludf.DUMMYFUNCTION("""COMPUTED_VALUE"""),"")</f>
        <v/>
      </c>
      <c r="H409" s="17" t="str">
        <v/>
      </c>
    </row>
    <row r="410" spans="5:8" ht="13.2">
      <c r="E410" s="17" t="str">
        <f ca="1">IFERROR(__xludf.DUMMYFUNCTION("""COMPUTED_VALUE"""),"")</f>
        <v/>
      </c>
      <c r="F410" s="17" t="str">
        <f ca="1">IFERROR(__xludf.DUMMYFUNCTION("""COMPUTED_VALUE"""),"")</f>
        <v/>
      </c>
      <c r="G410" s="17" t="str">
        <f ca="1">IFERROR(__xludf.DUMMYFUNCTION("""COMPUTED_VALUE"""),"")</f>
        <v/>
      </c>
      <c r="H410" s="17" t="str">
        <v/>
      </c>
    </row>
    <row r="411" spans="5:8" ht="13.2">
      <c r="E411" s="17" t="str">
        <f ca="1">IFERROR(__xludf.DUMMYFUNCTION("""COMPUTED_VALUE"""),"")</f>
        <v/>
      </c>
      <c r="F411" s="17" t="str">
        <f ca="1">IFERROR(__xludf.DUMMYFUNCTION("""COMPUTED_VALUE"""),"")</f>
        <v/>
      </c>
      <c r="G411" s="17" t="str">
        <f ca="1">IFERROR(__xludf.DUMMYFUNCTION("""COMPUTED_VALUE"""),"")</f>
        <v/>
      </c>
      <c r="H411" s="17" t="str">
        <v/>
      </c>
    </row>
    <row r="412" spans="5:8" ht="13.2">
      <c r="E412" s="17" t="str">
        <f ca="1">IFERROR(__xludf.DUMMYFUNCTION("""COMPUTED_VALUE"""),"")</f>
        <v/>
      </c>
      <c r="F412" s="17" t="str">
        <f ca="1">IFERROR(__xludf.DUMMYFUNCTION("""COMPUTED_VALUE"""),"")</f>
        <v/>
      </c>
      <c r="G412" s="17" t="str">
        <f ca="1">IFERROR(__xludf.DUMMYFUNCTION("""COMPUTED_VALUE"""),"")</f>
        <v/>
      </c>
      <c r="H412" s="17" t="str">
        <v/>
      </c>
    </row>
    <row r="413" spans="5:8" ht="13.2">
      <c r="E413" s="17" t="str">
        <f ca="1">IFERROR(__xludf.DUMMYFUNCTION("""COMPUTED_VALUE"""),"")</f>
        <v/>
      </c>
      <c r="F413" s="17" t="str">
        <f ca="1">IFERROR(__xludf.DUMMYFUNCTION("""COMPUTED_VALUE"""),"")</f>
        <v/>
      </c>
      <c r="G413" s="17" t="str">
        <f ca="1">IFERROR(__xludf.DUMMYFUNCTION("""COMPUTED_VALUE"""),"")</f>
        <v/>
      </c>
      <c r="H413" s="17" t="str">
        <v/>
      </c>
    </row>
    <row r="414" spans="5:8" ht="13.2">
      <c r="E414" s="17" t="str">
        <f ca="1">IFERROR(__xludf.DUMMYFUNCTION("""COMPUTED_VALUE"""),"")</f>
        <v/>
      </c>
      <c r="F414" s="17" t="str">
        <f ca="1">IFERROR(__xludf.DUMMYFUNCTION("""COMPUTED_VALUE"""),"")</f>
        <v/>
      </c>
      <c r="G414" s="17" t="str">
        <f ca="1">IFERROR(__xludf.DUMMYFUNCTION("""COMPUTED_VALUE"""),"")</f>
        <v/>
      </c>
      <c r="H414" s="17" t="str">
        <v/>
      </c>
    </row>
    <row r="415" spans="5:8" ht="13.2">
      <c r="E415" s="17" t="str">
        <f ca="1">IFERROR(__xludf.DUMMYFUNCTION("""COMPUTED_VALUE"""),"")</f>
        <v/>
      </c>
      <c r="F415" s="17" t="str">
        <f ca="1">IFERROR(__xludf.DUMMYFUNCTION("""COMPUTED_VALUE"""),"")</f>
        <v/>
      </c>
      <c r="G415" s="17" t="str">
        <f ca="1">IFERROR(__xludf.DUMMYFUNCTION("""COMPUTED_VALUE"""),"")</f>
        <v/>
      </c>
      <c r="H415" s="17" t="str">
        <v/>
      </c>
    </row>
    <row r="416" spans="5:8" ht="13.2">
      <c r="E416" s="17" t="str">
        <f ca="1">IFERROR(__xludf.DUMMYFUNCTION("""COMPUTED_VALUE"""),"")</f>
        <v/>
      </c>
      <c r="F416" s="17" t="str">
        <f ca="1">IFERROR(__xludf.DUMMYFUNCTION("""COMPUTED_VALUE"""),"")</f>
        <v/>
      </c>
      <c r="G416" s="17" t="str">
        <f ca="1">IFERROR(__xludf.DUMMYFUNCTION("""COMPUTED_VALUE"""),"")</f>
        <v/>
      </c>
      <c r="H416" s="17" t="str">
        <v/>
      </c>
    </row>
    <row r="417" spans="5:8" ht="13.2">
      <c r="E417" s="17" t="str">
        <f ca="1">IFERROR(__xludf.DUMMYFUNCTION("""COMPUTED_VALUE"""),"")</f>
        <v/>
      </c>
      <c r="F417" s="17" t="str">
        <f ca="1">IFERROR(__xludf.DUMMYFUNCTION("""COMPUTED_VALUE"""),"")</f>
        <v/>
      </c>
      <c r="G417" s="17" t="str">
        <f ca="1">IFERROR(__xludf.DUMMYFUNCTION("""COMPUTED_VALUE"""),"")</f>
        <v/>
      </c>
      <c r="H417" s="17" t="str">
        <v/>
      </c>
    </row>
    <row r="418" spans="5:8" ht="13.2">
      <c r="E418" s="17" t="str">
        <f ca="1">IFERROR(__xludf.DUMMYFUNCTION("""COMPUTED_VALUE"""),"")</f>
        <v/>
      </c>
      <c r="F418" s="17" t="str">
        <f ca="1">IFERROR(__xludf.DUMMYFUNCTION("""COMPUTED_VALUE"""),"")</f>
        <v/>
      </c>
      <c r="G418" s="17" t="str">
        <f ca="1">IFERROR(__xludf.DUMMYFUNCTION("""COMPUTED_VALUE"""),"")</f>
        <v/>
      </c>
      <c r="H418" s="17" t="str">
        <v/>
      </c>
    </row>
    <row r="419" spans="5:8" ht="13.2">
      <c r="E419" s="17" t="str">
        <f ca="1">IFERROR(__xludf.DUMMYFUNCTION("""COMPUTED_VALUE"""),"")</f>
        <v/>
      </c>
      <c r="F419" s="17" t="str">
        <f ca="1">IFERROR(__xludf.DUMMYFUNCTION("""COMPUTED_VALUE"""),"")</f>
        <v/>
      </c>
      <c r="G419" s="17" t="str">
        <f ca="1">IFERROR(__xludf.DUMMYFUNCTION("""COMPUTED_VALUE"""),"")</f>
        <v/>
      </c>
      <c r="H419" s="17" t="str">
        <v/>
      </c>
    </row>
    <row r="420" spans="5:8" ht="13.2">
      <c r="E420" s="17" t="str">
        <f ca="1">IFERROR(__xludf.DUMMYFUNCTION("""COMPUTED_VALUE"""),"")</f>
        <v/>
      </c>
      <c r="F420" s="17" t="str">
        <f ca="1">IFERROR(__xludf.DUMMYFUNCTION("""COMPUTED_VALUE"""),"")</f>
        <v/>
      </c>
      <c r="G420" s="17" t="str">
        <f ca="1">IFERROR(__xludf.DUMMYFUNCTION("""COMPUTED_VALUE"""),"")</f>
        <v/>
      </c>
      <c r="H420" s="17" t="str">
        <v/>
      </c>
    </row>
    <row r="421" spans="5:8" ht="13.2">
      <c r="E421" s="17" t="str">
        <f ca="1">IFERROR(__xludf.DUMMYFUNCTION("""COMPUTED_VALUE"""),"")</f>
        <v/>
      </c>
      <c r="F421" s="17" t="str">
        <f ca="1">IFERROR(__xludf.DUMMYFUNCTION("""COMPUTED_VALUE"""),"")</f>
        <v/>
      </c>
      <c r="G421" s="17" t="str">
        <f ca="1">IFERROR(__xludf.DUMMYFUNCTION("""COMPUTED_VALUE"""),"")</f>
        <v/>
      </c>
      <c r="H421" s="17" t="str">
        <v/>
      </c>
    </row>
    <row r="422" spans="5:8" ht="13.2">
      <c r="E422" s="17" t="str">
        <f ca="1">IFERROR(__xludf.DUMMYFUNCTION("""COMPUTED_VALUE"""),"")</f>
        <v/>
      </c>
      <c r="F422" s="17" t="str">
        <f ca="1">IFERROR(__xludf.DUMMYFUNCTION("""COMPUTED_VALUE"""),"")</f>
        <v/>
      </c>
      <c r="G422" s="17" t="str">
        <f ca="1">IFERROR(__xludf.DUMMYFUNCTION("""COMPUTED_VALUE"""),"")</f>
        <v/>
      </c>
      <c r="H422" s="17" t="str">
        <v/>
      </c>
    </row>
    <row r="423" spans="5:8" ht="13.2">
      <c r="E423" s="17" t="str">
        <f ca="1">IFERROR(__xludf.DUMMYFUNCTION("""COMPUTED_VALUE"""),"")</f>
        <v/>
      </c>
      <c r="F423" s="17" t="str">
        <f ca="1">IFERROR(__xludf.DUMMYFUNCTION("""COMPUTED_VALUE"""),"")</f>
        <v/>
      </c>
      <c r="G423" s="17" t="str">
        <f ca="1">IFERROR(__xludf.DUMMYFUNCTION("""COMPUTED_VALUE"""),"")</f>
        <v/>
      </c>
      <c r="H423" s="17" t="str">
        <v/>
      </c>
    </row>
    <row r="424" spans="5:8" ht="13.2">
      <c r="E424" s="17" t="str">
        <f ca="1">IFERROR(__xludf.DUMMYFUNCTION("""COMPUTED_VALUE"""),"")</f>
        <v/>
      </c>
      <c r="F424" s="17" t="str">
        <f ca="1">IFERROR(__xludf.DUMMYFUNCTION("""COMPUTED_VALUE"""),"")</f>
        <v/>
      </c>
      <c r="G424" s="17" t="str">
        <f ca="1">IFERROR(__xludf.DUMMYFUNCTION("""COMPUTED_VALUE"""),"")</f>
        <v/>
      </c>
      <c r="H424" s="17" t="str">
        <v/>
      </c>
    </row>
    <row r="425" spans="5:8" ht="13.2">
      <c r="E425" s="17" t="str">
        <f ca="1">IFERROR(__xludf.DUMMYFUNCTION("""COMPUTED_VALUE"""),"")</f>
        <v/>
      </c>
      <c r="F425" s="17" t="str">
        <f ca="1">IFERROR(__xludf.DUMMYFUNCTION("""COMPUTED_VALUE"""),"")</f>
        <v/>
      </c>
      <c r="G425" s="17" t="str">
        <f ca="1">IFERROR(__xludf.DUMMYFUNCTION("""COMPUTED_VALUE"""),"")</f>
        <v/>
      </c>
      <c r="H425" s="17" t="str">
        <v/>
      </c>
    </row>
    <row r="426" spans="5:8" ht="13.2">
      <c r="E426" s="17" t="str">
        <f ca="1">IFERROR(__xludf.DUMMYFUNCTION("""COMPUTED_VALUE"""),"")</f>
        <v/>
      </c>
      <c r="F426" s="17" t="str">
        <f ca="1">IFERROR(__xludf.DUMMYFUNCTION("""COMPUTED_VALUE"""),"")</f>
        <v/>
      </c>
      <c r="G426" s="17" t="str">
        <f ca="1">IFERROR(__xludf.DUMMYFUNCTION("""COMPUTED_VALUE"""),"")</f>
        <v/>
      </c>
      <c r="H426" s="17" t="str">
        <v/>
      </c>
    </row>
    <row r="427" spans="5:8" ht="13.2">
      <c r="E427" s="17" t="str">
        <f ca="1">IFERROR(__xludf.DUMMYFUNCTION("""COMPUTED_VALUE"""),"")</f>
        <v/>
      </c>
      <c r="F427" s="17" t="str">
        <f ca="1">IFERROR(__xludf.DUMMYFUNCTION("""COMPUTED_VALUE"""),"")</f>
        <v/>
      </c>
      <c r="G427" s="17" t="str">
        <f ca="1">IFERROR(__xludf.DUMMYFUNCTION("""COMPUTED_VALUE"""),"")</f>
        <v/>
      </c>
      <c r="H427" s="17" t="str">
        <v/>
      </c>
    </row>
    <row r="428" spans="5:8" ht="13.2">
      <c r="E428" s="17" t="str">
        <f ca="1">IFERROR(__xludf.DUMMYFUNCTION("""COMPUTED_VALUE"""),"")</f>
        <v/>
      </c>
      <c r="F428" s="17" t="str">
        <f ca="1">IFERROR(__xludf.DUMMYFUNCTION("""COMPUTED_VALUE"""),"")</f>
        <v/>
      </c>
      <c r="G428" s="17" t="str">
        <f ca="1">IFERROR(__xludf.DUMMYFUNCTION("""COMPUTED_VALUE"""),"")</f>
        <v/>
      </c>
      <c r="H428" s="17" t="str">
        <v/>
      </c>
    </row>
    <row r="429" spans="5:8" ht="13.2">
      <c r="E429" s="17" t="str">
        <f ca="1">IFERROR(__xludf.DUMMYFUNCTION("""COMPUTED_VALUE"""),"")</f>
        <v/>
      </c>
      <c r="F429" s="17" t="str">
        <f ca="1">IFERROR(__xludf.DUMMYFUNCTION("""COMPUTED_VALUE"""),"")</f>
        <v/>
      </c>
      <c r="G429" s="17" t="str">
        <f ca="1">IFERROR(__xludf.DUMMYFUNCTION("""COMPUTED_VALUE"""),"")</f>
        <v/>
      </c>
      <c r="H429" s="17" t="str">
        <v/>
      </c>
    </row>
    <row r="430" spans="5:8" ht="13.2">
      <c r="E430" s="17" t="str">
        <f ca="1">IFERROR(__xludf.DUMMYFUNCTION("""COMPUTED_VALUE"""),"")</f>
        <v/>
      </c>
      <c r="F430" s="17" t="str">
        <f ca="1">IFERROR(__xludf.DUMMYFUNCTION("""COMPUTED_VALUE"""),"")</f>
        <v/>
      </c>
      <c r="G430" s="17" t="str">
        <f ca="1">IFERROR(__xludf.DUMMYFUNCTION("""COMPUTED_VALUE"""),"")</f>
        <v/>
      </c>
      <c r="H430" s="17" t="str">
        <v/>
      </c>
    </row>
    <row r="431" spans="5:8" ht="13.2">
      <c r="E431" s="17" t="str">
        <f ca="1">IFERROR(__xludf.DUMMYFUNCTION("""COMPUTED_VALUE"""),"")</f>
        <v/>
      </c>
      <c r="F431" s="17" t="str">
        <f ca="1">IFERROR(__xludf.DUMMYFUNCTION("""COMPUTED_VALUE"""),"")</f>
        <v/>
      </c>
      <c r="G431" s="17" t="str">
        <f ca="1">IFERROR(__xludf.DUMMYFUNCTION("""COMPUTED_VALUE"""),"")</f>
        <v/>
      </c>
      <c r="H431" s="17" t="str">
        <v/>
      </c>
    </row>
    <row r="432" spans="5:8" ht="13.2">
      <c r="E432" s="17" t="str">
        <f ca="1">IFERROR(__xludf.DUMMYFUNCTION("""COMPUTED_VALUE"""),"")</f>
        <v/>
      </c>
      <c r="F432" s="17" t="str">
        <f ca="1">IFERROR(__xludf.DUMMYFUNCTION("""COMPUTED_VALUE"""),"")</f>
        <v/>
      </c>
      <c r="G432" s="17" t="str">
        <f ca="1">IFERROR(__xludf.DUMMYFUNCTION("""COMPUTED_VALUE"""),"")</f>
        <v/>
      </c>
      <c r="H432" s="17" t="str">
        <v/>
      </c>
    </row>
    <row r="433" spans="5:8" ht="13.2">
      <c r="E433" s="17" t="str">
        <f ca="1">IFERROR(__xludf.DUMMYFUNCTION("""COMPUTED_VALUE"""),"")</f>
        <v/>
      </c>
      <c r="F433" s="17" t="str">
        <f ca="1">IFERROR(__xludf.DUMMYFUNCTION("""COMPUTED_VALUE"""),"")</f>
        <v/>
      </c>
      <c r="G433" s="17" t="str">
        <f ca="1">IFERROR(__xludf.DUMMYFUNCTION("""COMPUTED_VALUE"""),"")</f>
        <v/>
      </c>
      <c r="H433" s="17" t="str">
        <v/>
      </c>
    </row>
    <row r="434" spans="5:8" ht="13.2">
      <c r="E434" s="17" t="str">
        <f ca="1">IFERROR(__xludf.DUMMYFUNCTION("""COMPUTED_VALUE"""),"")</f>
        <v/>
      </c>
      <c r="F434" s="17" t="str">
        <f ca="1">IFERROR(__xludf.DUMMYFUNCTION("""COMPUTED_VALUE"""),"")</f>
        <v/>
      </c>
      <c r="G434" s="17" t="str">
        <f ca="1">IFERROR(__xludf.DUMMYFUNCTION("""COMPUTED_VALUE"""),"")</f>
        <v/>
      </c>
      <c r="H434" s="17" t="str">
        <v/>
      </c>
    </row>
    <row r="435" spans="5:8" ht="13.2">
      <c r="E435" s="17" t="str">
        <f ca="1">IFERROR(__xludf.DUMMYFUNCTION("""COMPUTED_VALUE"""),"")</f>
        <v/>
      </c>
      <c r="F435" s="17" t="str">
        <f ca="1">IFERROR(__xludf.DUMMYFUNCTION("""COMPUTED_VALUE"""),"")</f>
        <v/>
      </c>
      <c r="G435" s="17" t="str">
        <f ca="1">IFERROR(__xludf.DUMMYFUNCTION("""COMPUTED_VALUE"""),"")</f>
        <v/>
      </c>
      <c r="H435" s="17" t="str">
        <v/>
      </c>
    </row>
    <row r="436" spans="5:8" ht="13.2">
      <c r="E436" s="17" t="str">
        <f ca="1">IFERROR(__xludf.DUMMYFUNCTION("""COMPUTED_VALUE"""),"")</f>
        <v/>
      </c>
      <c r="F436" s="17" t="str">
        <f ca="1">IFERROR(__xludf.DUMMYFUNCTION("""COMPUTED_VALUE"""),"")</f>
        <v/>
      </c>
      <c r="G436" s="17" t="str">
        <f ca="1">IFERROR(__xludf.DUMMYFUNCTION("""COMPUTED_VALUE"""),"")</f>
        <v/>
      </c>
      <c r="H436" s="17" t="str">
        <v/>
      </c>
    </row>
    <row r="437" spans="5:8" ht="13.2">
      <c r="E437" s="17" t="str">
        <f ca="1">IFERROR(__xludf.DUMMYFUNCTION("""COMPUTED_VALUE"""),"")</f>
        <v/>
      </c>
      <c r="F437" s="17" t="str">
        <f ca="1">IFERROR(__xludf.DUMMYFUNCTION("""COMPUTED_VALUE"""),"")</f>
        <v/>
      </c>
      <c r="G437" s="17" t="str">
        <f ca="1">IFERROR(__xludf.DUMMYFUNCTION("""COMPUTED_VALUE"""),"")</f>
        <v/>
      </c>
      <c r="H437" s="17" t="str">
        <v/>
      </c>
    </row>
    <row r="438" spans="5:8" ht="13.2">
      <c r="E438" s="17" t="str">
        <f ca="1">IFERROR(__xludf.DUMMYFUNCTION("""COMPUTED_VALUE"""),"")</f>
        <v/>
      </c>
      <c r="F438" s="17" t="str">
        <f ca="1">IFERROR(__xludf.DUMMYFUNCTION("""COMPUTED_VALUE"""),"")</f>
        <v/>
      </c>
      <c r="G438" s="17" t="str">
        <f ca="1">IFERROR(__xludf.DUMMYFUNCTION("""COMPUTED_VALUE"""),"")</f>
        <v/>
      </c>
      <c r="H438" s="17" t="str">
        <v/>
      </c>
    </row>
    <row r="439" spans="5:8" ht="13.2">
      <c r="E439" s="17" t="str">
        <f ca="1">IFERROR(__xludf.DUMMYFUNCTION("""COMPUTED_VALUE"""),"")</f>
        <v/>
      </c>
      <c r="F439" s="17" t="str">
        <f ca="1">IFERROR(__xludf.DUMMYFUNCTION("""COMPUTED_VALUE"""),"")</f>
        <v/>
      </c>
      <c r="G439" s="17" t="str">
        <f ca="1">IFERROR(__xludf.DUMMYFUNCTION("""COMPUTED_VALUE"""),"")</f>
        <v/>
      </c>
      <c r="H439" s="17" t="str">
        <v/>
      </c>
    </row>
    <row r="440" spans="5:8" ht="13.2">
      <c r="E440" s="17" t="str">
        <f ca="1">IFERROR(__xludf.DUMMYFUNCTION("""COMPUTED_VALUE"""),"")</f>
        <v/>
      </c>
      <c r="F440" s="17" t="str">
        <f ca="1">IFERROR(__xludf.DUMMYFUNCTION("""COMPUTED_VALUE"""),"")</f>
        <v/>
      </c>
      <c r="G440" s="17" t="str">
        <f ca="1">IFERROR(__xludf.DUMMYFUNCTION("""COMPUTED_VALUE"""),"")</f>
        <v/>
      </c>
      <c r="H440" s="17" t="str">
        <v/>
      </c>
    </row>
    <row r="441" spans="5:8" ht="13.2">
      <c r="E441" s="17" t="str">
        <f ca="1">IFERROR(__xludf.DUMMYFUNCTION("""COMPUTED_VALUE"""),"")</f>
        <v/>
      </c>
      <c r="F441" s="17" t="str">
        <f ca="1">IFERROR(__xludf.DUMMYFUNCTION("""COMPUTED_VALUE"""),"")</f>
        <v/>
      </c>
      <c r="G441" s="17" t="str">
        <f ca="1">IFERROR(__xludf.DUMMYFUNCTION("""COMPUTED_VALUE"""),"")</f>
        <v/>
      </c>
      <c r="H441" s="17" t="str">
        <v/>
      </c>
    </row>
    <row r="442" spans="5:8" ht="13.2">
      <c r="E442" s="17" t="str">
        <f ca="1">IFERROR(__xludf.DUMMYFUNCTION("""COMPUTED_VALUE"""),"")</f>
        <v/>
      </c>
      <c r="F442" s="17" t="str">
        <f ca="1">IFERROR(__xludf.DUMMYFUNCTION("""COMPUTED_VALUE"""),"")</f>
        <v/>
      </c>
      <c r="G442" s="17" t="str">
        <f ca="1">IFERROR(__xludf.DUMMYFUNCTION("""COMPUTED_VALUE"""),"")</f>
        <v/>
      </c>
      <c r="H442" s="17" t="str">
        <v/>
      </c>
    </row>
    <row r="443" spans="5:8" ht="13.2">
      <c r="E443" s="17" t="str">
        <f ca="1">IFERROR(__xludf.DUMMYFUNCTION("""COMPUTED_VALUE"""),"")</f>
        <v/>
      </c>
      <c r="F443" s="17" t="str">
        <f ca="1">IFERROR(__xludf.DUMMYFUNCTION("""COMPUTED_VALUE"""),"")</f>
        <v/>
      </c>
      <c r="G443" s="17" t="str">
        <f ca="1">IFERROR(__xludf.DUMMYFUNCTION("""COMPUTED_VALUE"""),"")</f>
        <v/>
      </c>
      <c r="H443" s="17" t="str">
        <v/>
      </c>
    </row>
    <row r="444" spans="5:8" ht="13.2">
      <c r="E444" s="17" t="str">
        <f ca="1">IFERROR(__xludf.DUMMYFUNCTION("""COMPUTED_VALUE"""),"")</f>
        <v/>
      </c>
      <c r="F444" s="17" t="str">
        <f ca="1">IFERROR(__xludf.DUMMYFUNCTION("""COMPUTED_VALUE"""),"")</f>
        <v/>
      </c>
      <c r="G444" s="17" t="str">
        <f ca="1">IFERROR(__xludf.DUMMYFUNCTION("""COMPUTED_VALUE"""),"")</f>
        <v/>
      </c>
      <c r="H444" s="17" t="str">
        <v/>
      </c>
    </row>
    <row r="445" spans="5:8" ht="13.2">
      <c r="E445" s="17" t="str">
        <f ca="1">IFERROR(__xludf.DUMMYFUNCTION("""COMPUTED_VALUE"""),"")</f>
        <v/>
      </c>
      <c r="F445" s="17" t="str">
        <f ca="1">IFERROR(__xludf.DUMMYFUNCTION("""COMPUTED_VALUE"""),"")</f>
        <v/>
      </c>
      <c r="G445" s="17" t="str">
        <f ca="1">IFERROR(__xludf.DUMMYFUNCTION("""COMPUTED_VALUE"""),"")</f>
        <v/>
      </c>
      <c r="H445" s="17" t="str">
        <v/>
      </c>
    </row>
    <row r="446" spans="5:8" ht="13.2">
      <c r="E446" s="17" t="str">
        <f ca="1">IFERROR(__xludf.DUMMYFUNCTION("""COMPUTED_VALUE"""),"")</f>
        <v/>
      </c>
      <c r="F446" s="17" t="str">
        <f ca="1">IFERROR(__xludf.DUMMYFUNCTION("""COMPUTED_VALUE"""),"")</f>
        <v/>
      </c>
      <c r="G446" s="17" t="str">
        <f ca="1">IFERROR(__xludf.DUMMYFUNCTION("""COMPUTED_VALUE"""),"")</f>
        <v/>
      </c>
      <c r="H446" s="17" t="str">
        <v/>
      </c>
    </row>
    <row r="447" spans="5:8" ht="13.2">
      <c r="E447" s="17" t="str">
        <f ca="1">IFERROR(__xludf.DUMMYFUNCTION("""COMPUTED_VALUE"""),"")</f>
        <v/>
      </c>
      <c r="F447" s="17" t="str">
        <f ca="1">IFERROR(__xludf.DUMMYFUNCTION("""COMPUTED_VALUE"""),"")</f>
        <v/>
      </c>
      <c r="G447" s="17" t="str">
        <f ca="1">IFERROR(__xludf.DUMMYFUNCTION("""COMPUTED_VALUE"""),"")</f>
        <v/>
      </c>
      <c r="H447" s="17" t="str">
        <v/>
      </c>
    </row>
    <row r="448" spans="5:8" ht="13.2">
      <c r="E448" s="17" t="str">
        <f ca="1">IFERROR(__xludf.DUMMYFUNCTION("""COMPUTED_VALUE"""),"")</f>
        <v/>
      </c>
      <c r="F448" s="17" t="str">
        <f ca="1">IFERROR(__xludf.DUMMYFUNCTION("""COMPUTED_VALUE"""),"")</f>
        <v/>
      </c>
      <c r="G448" s="17" t="str">
        <f ca="1">IFERROR(__xludf.DUMMYFUNCTION("""COMPUTED_VALUE"""),"")</f>
        <v/>
      </c>
      <c r="H448" s="17" t="str">
        <v/>
      </c>
    </row>
    <row r="449" spans="5:8" ht="13.2">
      <c r="E449" s="17" t="str">
        <f ca="1">IFERROR(__xludf.DUMMYFUNCTION("""COMPUTED_VALUE"""),"")</f>
        <v/>
      </c>
      <c r="F449" s="17" t="str">
        <f ca="1">IFERROR(__xludf.DUMMYFUNCTION("""COMPUTED_VALUE"""),"")</f>
        <v/>
      </c>
      <c r="G449" s="17" t="str">
        <f ca="1">IFERROR(__xludf.DUMMYFUNCTION("""COMPUTED_VALUE"""),"")</f>
        <v/>
      </c>
      <c r="H449" s="17" t="str">
        <v/>
      </c>
    </row>
    <row r="450" spans="5:8" ht="13.2">
      <c r="E450" s="17" t="str">
        <f ca="1">IFERROR(__xludf.DUMMYFUNCTION("""COMPUTED_VALUE"""),"")</f>
        <v/>
      </c>
      <c r="F450" s="17" t="str">
        <f ca="1">IFERROR(__xludf.DUMMYFUNCTION("""COMPUTED_VALUE"""),"")</f>
        <v/>
      </c>
      <c r="G450" s="17" t="str">
        <f ca="1">IFERROR(__xludf.DUMMYFUNCTION("""COMPUTED_VALUE"""),"")</f>
        <v/>
      </c>
      <c r="H450" s="17" t="str">
        <v/>
      </c>
    </row>
    <row r="451" spans="5:8" ht="13.2">
      <c r="E451" s="17" t="str">
        <f ca="1">IFERROR(__xludf.DUMMYFUNCTION("""COMPUTED_VALUE"""),"")</f>
        <v/>
      </c>
      <c r="F451" s="17" t="str">
        <f ca="1">IFERROR(__xludf.DUMMYFUNCTION("""COMPUTED_VALUE"""),"")</f>
        <v/>
      </c>
      <c r="G451" s="17" t="str">
        <f ca="1">IFERROR(__xludf.DUMMYFUNCTION("""COMPUTED_VALUE"""),"")</f>
        <v/>
      </c>
      <c r="H451" s="17" t="str">
        <v/>
      </c>
    </row>
    <row r="452" spans="5:8" ht="13.2">
      <c r="E452" s="17" t="str">
        <f ca="1">IFERROR(__xludf.DUMMYFUNCTION("""COMPUTED_VALUE"""),"")</f>
        <v/>
      </c>
      <c r="F452" s="17" t="str">
        <f ca="1">IFERROR(__xludf.DUMMYFUNCTION("""COMPUTED_VALUE"""),"")</f>
        <v/>
      </c>
      <c r="G452" s="17" t="str">
        <f ca="1">IFERROR(__xludf.DUMMYFUNCTION("""COMPUTED_VALUE"""),"")</f>
        <v/>
      </c>
      <c r="H452" s="17" t="str">
        <v/>
      </c>
    </row>
    <row r="453" spans="5:8" ht="13.2">
      <c r="E453" s="17" t="str">
        <f ca="1">IFERROR(__xludf.DUMMYFUNCTION("""COMPUTED_VALUE"""),"")</f>
        <v/>
      </c>
      <c r="F453" s="17" t="str">
        <f ca="1">IFERROR(__xludf.DUMMYFUNCTION("""COMPUTED_VALUE"""),"")</f>
        <v/>
      </c>
      <c r="G453" s="17" t="str">
        <f ca="1">IFERROR(__xludf.DUMMYFUNCTION("""COMPUTED_VALUE"""),"")</f>
        <v/>
      </c>
      <c r="H453" s="17" t="str">
        <v/>
      </c>
    </row>
    <row r="454" spans="5:8" ht="13.2">
      <c r="E454" s="17" t="str">
        <f ca="1">IFERROR(__xludf.DUMMYFUNCTION("""COMPUTED_VALUE"""),"")</f>
        <v/>
      </c>
      <c r="F454" s="17" t="str">
        <f ca="1">IFERROR(__xludf.DUMMYFUNCTION("""COMPUTED_VALUE"""),"")</f>
        <v/>
      </c>
      <c r="G454" s="17" t="str">
        <f ca="1">IFERROR(__xludf.DUMMYFUNCTION("""COMPUTED_VALUE"""),"")</f>
        <v/>
      </c>
      <c r="H454" s="17" t="str">
        <v/>
      </c>
    </row>
    <row r="455" spans="5:8" ht="13.2">
      <c r="E455" s="17" t="str">
        <f ca="1">IFERROR(__xludf.DUMMYFUNCTION("""COMPUTED_VALUE"""),"")</f>
        <v/>
      </c>
      <c r="F455" s="17" t="str">
        <f ca="1">IFERROR(__xludf.DUMMYFUNCTION("""COMPUTED_VALUE"""),"")</f>
        <v/>
      </c>
      <c r="G455" s="17" t="str">
        <f ca="1">IFERROR(__xludf.DUMMYFUNCTION("""COMPUTED_VALUE"""),"")</f>
        <v/>
      </c>
      <c r="H455" s="17" t="str">
        <v/>
      </c>
    </row>
    <row r="456" spans="5:8" ht="13.2">
      <c r="E456" s="17" t="str">
        <f ca="1">IFERROR(__xludf.DUMMYFUNCTION("""COMPUTED_VALUE"""),"")</f>
        <v/>
      </c>
      <c r="F456" s="17" t="str">
        <f ca="1">IFERROR(__xludf.DUMMYFUNCTION("""COMPUTED_VALUE"""),"")</f>
        <v/>
      </c>
      <c r="G456" s="17" t="str">
        <f ca="1">IFERROR(__xludf.DUMMYFUNCTION("""COMPUTED_VALUE"""),"")</f>
        <v/>
      </c>
      <c r="H456" s="17" t="str">
        <v/>
      </c>
    </row>
    <row r="457" spans="5:8" ht="13.2">
      <c r="E457" s="17" t="str">
        <f ca="1">IFERROR(__xludf.DUMMYFUNCTION("""COMPUTED_VALUE"""),"")</f>
        <v/>
      </c>
      <c r="F457" s="17" t="str">
        <f ca="1">IFERROR(__xludf.DUMMYFUNCTION("""COMPUTED_VALUE"""),"")</f>
        <v/>
      </c>
      <c r="G457" s="17" t="str">
        <f ca="1">IFERROR(__xludf.DUMMYFUNCTION("""COMPUTED_VALUE"""),"")</f>
        <v/>
      </c>
      <c r="H457" s="17" t="str">
        <v/>
      </c>
    </row>
    <row r="458" spans="5:8" ht="13.2">
      <c r="E458" s="17" t="str">
        <f ca="1">IFERROR(__xludf.DUMMYFUNCTION("""COMPUTED_VALUE"""),"")</f>
        <v/>
      </c>
      <c r="F458" s="17" t="str">
        <f ca="1">IFERROR(__xludf.DUMMYFUNCTION("""COMPUTED_VALUE"""),"")</f>
        <v/>
      </c>
      <c r="G458" s="17" t="str">
        <f ca="1">IFERROR(__xludf.DUMMYFUNCTION("""COMPUTED_VALUE"""),"")</f>
        <v/>
      </c>
      <c r="H458" s="17" t="str">
        <v/>
      </c>
    </row>
    <row r="459" spans="5:8" ht="13.2">
      <c r="E459" s="17" t="str">
        <f ca="1">IFERROR(__xludf.DUMMYFUNCTION("""COMPUTED_VALUE"""),"")</f>
        <v/>
      </c>
      <c r="F459" s="17" t="str">
        <f ca="1">IFERROR(__xludf.DUMMYFUNCTION("""COMPUTED_VALUE"""),"")</f>
        <v/>
      </c>
      <c r="G459" s="17" t="str">
        <f ca="1">IFERROR(__xludf.DUMMYFUNCTION("""COMPUTED_VALUE"""),"")</f>
        <v/>
      </c>
      <c r="H459" s="17" t="str">
        <v/>
      </c>
    </row>
    <row r="460" spans="5:8" ht="13.2">
      <c r="E460" s="17" t="str">
        <f ca="1">IFERROR(__xludf.DUMMYFUNCTION("""COMPUTED_VALUE"""),"")</f>
        <v/>
      </c>
      <c r="F460" s="17" t="str">
        <f ca="1">IFERROR(__xludf.DUMMYFUNCTION("""COMPUTED_VALUE"""),"")</f>
        <v/>
      </c>
      <c r="G460" s="17" t="str">
        <f ca="1">IFERROR(__xludf.DUMMYFUNCTION("""COMPUTED_VALUE"""),"")</f>
        <v/>
      </c>
      <c r="H460" s="17" t="str">
        <v/>
      </c>
    </row>
    <row r="461" spans="5:8" ht="13.2">
      <c r="E461" s="17" t="str">
        <f ca="1">IFERROR(__xludf.DUMMYFUNCTION("""COMPUTED_VALUE"""),"")</f>
        <v/>
      </c>
      <c r="F461" s="17" t="str">
        <f ca="1">IFERROR(__xludf.DUMMYFUNCTION("""COMPUTED_VALUE"""),"")</f>
        <v/>
      </c>
      <c r="G461" s="17" t="str">
        <f ca="1">IFERROR(__xludf.DUMMYFUNCTION("""COMPUTED_VALUE"""),"")</f>
        <v/>
      </c>
      <c r="H461" s="17" t="str">
        <v/>
      </c>
    </row>
    <row r="462" spans="5:8" ht="13.2">
      <c r="E462" s="17" t="str">
        <f ca="1">IFERROR(__xludf.DUMMYFUNCTION("""COMPUTED_VALUE"""),"")</f>
        <v/>
      </c>
      <c r="F462" s="17" t="str">
        <f ca="1">IFERROR(__xludf.DUMMYFUNCTION("""COMPUTED_VALUE"""),"")</f>
        <v/>
      </c>
      <c r="G462" s="17" t="str">
        <f ca="1">IFERROR(__xludf.DUMMYFUNCTION("""COMPUTED_VALUE"""),"")</f>
        <v/>
      </c>
      <c r="H462" s="17" t="str">
        <v/>
      </c>
    </row>
    <row r="463" spans="5:8" ht="13.2">
      <c r="E463" s="17" t="str">
        <f ca="1">IFERROR(__xludf.DUMMYFUNCTION("""COMPUTED_VALUE"""),"")</f>
        <v/>
      </c>
      <c r="F463" s="17" t="str">
        <f ca="1">IFERROR(__xludf.DUMMYFUNCTION("""COMPUTED_VALUE"""),"")</f>
        <v/>
      </c>
      <c r="G463" s="17" t="str">
        <f ca="1">IFERROR(__xludf.DUMMYFUNCTION("""COMPUTED_VALUE"""),"")</f>
        <v/>
      </c>
      <c r="H463" s="17" t="str">
        <v/>
      </c>
    </row>
    <row r="464" spans="5:8" ht="13.2">
      <c r="E464" s="17" t="str">
        <f ca="1">IFERROR(__xludf.DUMMYFUNCTION("""COMPUTED_VALUE"""),"")</f>
        <v/>
      </c>
      <c r="F464" s="17" t="str">
        <f ca="1">IFERROR(__xludf.DUMMYFUNCTION("""COMPUTED_VALUE"""),"")</f>
        <v/>
      </c>
      <c r="G464" s="17" t="str">
        <f ca="1">IFERROR(__xludf.DUMMYFUNCTION("""COMPUTED_VALUE"""),"")</f>
        <v/>
      </c>
      <c r="H464" s="17" t="str">
        <v/>
      </c>
    </row>
    <row r="465" spans="5:8" ht="13.2">
      <c r="E465" s="17" t="str">
        <f ca="1">IFERROR(__xludf.DUMMYFUNCTION("""COMPUTED_VALUE"""),"")</f>
        <v/>
      </c>
      <c r="F465" s="17" t="str">
        <f ca="1">IFERROR(__xludf.DUMMYFUNCTION("""COMPUTED_VALUE"""),"")</f>
        <v/>
      </c>
      <c r="G465" s="17" t="str">
        <f ca="1">IFERROR(__xludf.DUMMYFUNCTION("""COMPUTED_VALUE"""),"")</f>
        <v/>
      </c>
      <c r="H465" s="17" t="str">
        <v/>
      </c>
    </row>
    <row r="466" spans="5:8" ht="13.2">
      <c r="E466" s="17" t="str">
        <f ca="1">IFERROR(__xludf.DUMMYFUNCTION("""COMPUTED_VALUE"""),"")</f>
        <v/>
      </c>
      <c r="F466" s="17" t="str">
        <f ca="1">IFERROR(__xludf.DUMMYFUNCTION("""COMPUTED_VALUE"""),"")</f>
        <v/>
      </c>
      <c r="G466" s="17" t="str">
        <f ca="1">IFERROR(__xludf.DUMMYFUNCTION("""COMPUTED_VALUE"""),"")</f>
        <v/>
      </c>
      <c r="H466" s="17" t="str">
        <v/>
      </c>
    </row>
    <row r="467" spans="5:8" ht="13.2">
      <c r="E467" s="17" t="str">
        <f ca="1">IFERROR(__xludf.DUMMYFUNCTION("""COMPUTED_VALUE"""),"")</f>
        <v/>
      </c>
      <c r="F467" s="17" t="str">
        <f ca="1">IFERROR(__xludf.DUMMYFUNCTION("""COMPUTED_VALUE"""),"")</f>
        <v/>
      </c>
      <c r="G467" s="17" t="str">
        <f ca="1">IFERROR(__xludf.DUMMYFUNCTION("""COMPUTED_VALUE"""),"")</f>
        <v/>
      </c>
      <c r="H467" s="17" t="str">
        <v/>
      </c>
    </row>
    <row r="468" spans="5:8" ht="13.2">
      <c r="E468" s="17" t="str">
        <f ca="1">IFERROR(__xludf.DUMMYFUNCTION("""COMPUTED_VALUE"""),"")</f>
        <v/>
      </c>
      <c r="F468" s="17" t="str">
        <f ca="1">IFERROR(__xludf.DUMMYFUNCTION("""COMPUTED_VALUE"""),"")</f>
        <v/>
      </c>
      <c r="G468" s="17" t="str">
        <f ca="1">IFERROR(__xludf.DUMMYFUNCTION("""COMPUTED_VALUE"""),"")</f>
        <v/>
      </c>
      <c r="H468" s="17" t="str">
        <v/>
      </c>
    </row>
    <row r="469" spans="5:8" ht="13.2">
      <c r="E469" s="17" t="str">
        <f ca="1">IFERROR(__xludf.DUMMYFUNCTION("""COMPUTED_VALUE"""),"")</f>
        <v/>
      </c>
      <c r="F469" s="17" t="str">
        <f ca="1">IFERROR(__xludf.DUMMYFUNCTION("""COMPUTED_VALUE"""),"")</f>
        <v/>
      </c>
      <c r="G469" s="17" t="str">
        <f ca="1">IFERROR(__xludf.DUMMYFUNCTION("""COMPUTED_VALUE"""),"")</f>
        <v/>
      </c>
      <c r="H469" s="17" t="str">
        <v/>
      </c>
    </row>
    <row r="470" spans="5:8" ht="13.2">
      <c r="E470" s="17" t="str">
        <f ca="1">IFERROR(__xludf.DUMMYFUNCTION("""COMPUTED_VALUE"""),"")</f>
        <v/>
      </c>
      <c r="F470" s="17" t="str">
        <f ca="1">IFERROR(__xludf.DUMMYFUNCTION("""COMPUTED_VALUE"""),"")</f>
        <v/>
      </c>
      <c r="G470" s="17" t="str">
        <f ca="1">IFERROR(__xludf.DUMMYFUNCTION("""COMPUTED_VALUE"""),"")</f>
        <v/>
      </c>
      <c r="H470" s="17" t="str">
        <v/>
      </c>
    </row>
    <row r="471" spans="5:8" ht="13.2">
      <c r="E471" s="17" t="str">
        <f ca="1">IFERROR(__xludf.DUMMYFUNCTION("""COMPUTED_VALUE"""),"")</f>
        <v/>
      </c>
      <c r="F471" s="17" t="str">
        <f ca="1">IFERROR(__xludf.DUMMYFUNCTION("""COMPUTED_VALUE"""),"")</f>
        <v/>
      </c>
      <c r="G471" s="17" t="str">
        <f ca="1">IFERROR(__xludf.DUMMYFUNCTION("""COMPUTED_VALUE"""),"")</f>
        <v/>
      </c>
      <c r="H471" s="17" t="str">
        <v/>
      </c>
    </row>
    <row r="472" spans="5:8" ht="13.2">
      <c r="E472" s="17" t="str">
        <f ca="1">IFERROR(__xludf.DUMMYFUNCTION("""COMPUTED_VALUE"""),"")</f>
        <v/>
      </c>
      <c r="F472" s="17" t="str">
        <f ca="1">IFERROR(__xludf.DUMMYFUNCTION("""COMPUTED_VALUE"""),"")</f>
        <v/>
      </c>
      <c r="G472" s="17" t="str">
        <f ca="1">IFERROR(__xludf.DUMMYFUNCTION("""COMPUTED_VALUE"""),"")</f>
        <v/>
      </c>
      <c r="H472" s="17" t="str">
        <v/>
      </c>
    </row>
    <row r="473" spans="5:8" ht="13.2">
      <c r="E473" s="17" t="str">
        <f ca="1">IFERROR(__xludf.DUMMYFUNCTION("""COMPUTED_VALUE"""),"")</f>
        <v/>
      </c>
      <c r="F473" s="17" t="str">
        <f ca="1">IFERROR(__xludf.DUMMYFUNCTION("""COMPUTED_VALUE"""),"")</f>
        <v/>
      </c>
      <c r="G473" s="17" t="str">
        <f ca="1">IFERROR(__xludf.DUMMYFUNCTION("""COMPUTED_VALUE"""),"")</f>
        <v/>
      </c>
      <c r="H473" s="17" t="str">
        <v/>
      </c>
    </row>
    <row r="474" spans="5:8" ht="13.2">
      <c r="E474" s="17" t="str">
        <f ca="1">IFERROR(__xludf.DUMMYFUNCTION("""COMPUTED_VALUE"""),"")</f>
        <v/>
      </c>
      <c r="F474" s="17" t="str">
        <f ca="1">IFERROR(__xludf.DUMMYFUNCTION("""COMPUTED_VALUE"""),"")</f>
        <v/>
      </c>
      <c r="G474" s="17" t="str">
        <f ca="1">IFERROR(__xludf.DUMMYFUNCTION("""COMPUTED_VALUE"""),"")</f>
        <v/>
      </c>
      <c r="H474" s="17" t="str">
        <v/>
      </c>
    </row>
    <row r="475" spans="5:8" ht="13.2">
      <c r="E475" s="17" t="str">
        <f ca="1">IFERROR(__xludf.DUMMYFUNCTION("""COMPUTED_VALUE"""),"")</f>
        <v/>
      </c>
      <c r="F475" s="17" t="str">
        <f ca="1">IFERROR(__xludf.DUMMYFUNCTION("""COMPUTED_VALUE"""),"")</f>
        <v/>
      </c>
      <c r="G475" s="17" t="str">
        <f ca="1">IFERROR(__xludf.DUMMYFUNCTION("""COMPUTED_VALUE"""),"")</f>
        <v/>
      </c>
      <c r="H475" s="17" t="str">
        <v/>
      </c>
    </row>
    <row r="476" spans="5:8" ht="13.2">
      <c r="E476" s="17" t="str">
        <f ca="1">IFERROR(__xludf.DUMMYFUNCTION("""COMPUTED_VALUE"""),"")</f>
        <v/>
      </c>
      <c r="F476" s="17" t="str">
        <f ca="1">IFERROR(__xludf.DUMMYFUNCTION("""COMPUTED_VALUE"""),"")</f>
        <v/>
      </c>
      <c r="G476" s="17" t="str">
        <f ca="1">IFERROR(__xludf.DUMMYFUNCTION("""COMPUTED_VALUE"""),"")</f>
        <v/>
      </c>
      <c r="H476" s="17" t="str">
        <v/>
      </c>
    </row>
    <row r="477" spans="5:8" ht="13.2">
      <c r="E477" s="17" t="str">
        <f ca="1">IFERROR(__xludf.DUMMYFUNCTION("""COMPUTED_VALUE"""),"")</f>
        <v/>
      </c>
      <c r="F477" s="17" t="str">
        <f ca="1">IFERROR(__xludf.DUMMYFUNCTION("""COMPUTED_VALUE"""),"")</f>
        <v/>
      </c>
      <c r="G477" s="17" t="str">
        <f ca="1">IFERROR(__xludf.DUMMYFUNCTION("""COMPUTED_VALUE"""),"")</f>
        <v/>
      </c>
      <c r="H477" s="17" t="str">
        <v/>
      </c>
    </row>
    <row r="478" spans="5:8" ht="13.2">
      <c r="E478" s="17" t="str">
        <f ca="1">IFERROR(__xludf.DUMMYFUNCTION("""COMPUTED_VALUE"""),"")</f>
        <v/>
      </c>
      <c r="F478" s="17" t="str">
        <f ca="1">IFERROR(__xludf.DUMMYFUNCTION("""COMPUTED_VALUE"""),"")</f>
        <v/>
      </c>
      <c r="G478" s="17" t="str">
        <f ca="1">IFERROR(__xludf.DUMMYFUNCTION("""COMPUTED_VALUE"""),"")</f>
        <v/>
      </c>
      <c r="H478" s="17" t="str">
        <v/>
      </c>
    </row>
    <row r="479" spans="5:8" ht="13.2">
      <c r="E479" s="17" t="str">
        <f ca="1">IFERROR(__xludf.DUMMYFUNCTION("""COMPUTED_VALUE"""),"")</f>
        <v/>
      </c>
      <c r="F479" s="17" t="str">
        <f ca="1">IFERROR(__xludf.DUMMYFUNCTION("""COMPUTED_VALUE"""),"")</f>
        <v/>
      </c>
      <c r="G479" s="17" t="str">
        <f ca="1">IFERROR(__xludf.DUMMYFUNCTION("""COMPUTED_VALUE"""),"")</f>
        <v/>
      </c>
      <c r="H479" s="17" t="str">
        <v/>
      </c>
    </row>
    <row r="480" spans="5:8" ht="13.2">
      <c r="E480" s="17" t="str">
        <f ca="1">IFERROR(__xludf.DUMMYFUNCTION("""COMPUTED_VALUE"""),"")</f>
        <v/>
      </c>
      <c r="F480" s="17" t="str">
        <f ca="1">IFERROR(__xludf.DUMMYFUNCTION("""COMPUTED_VALUE"""),"")</f>
        <v/>
      </c>
      <c r="G480" s="17" t="str">
        <f ca="1">IFERROR(__xludf.DUMMYFUNCTION("""COMPUTED_VALUE"""),"")</f>
        <v/>
      </c>
      <c r="H480" s="17" t="str">
        <v/>
      </c>
    </row>
    <row r="481" spans="5:8" ht="13.2">
      <c r="E481" s="17" t="str">
        <f ca="1">IFERROR(__xludf.DUMMYFUNCTION("""COMPUTED_VALUE"""),"")</f>
        <v/>
      </c>
      <c r="F481" s="17" t="str">
        <f ca="1">IFERROR(__xludf.DUMMYFUNCTION("""COMPUTED_VALUE"""),"")</f>
        <v/>
      </c>
      <c r="G481" s="17" t="str">
        <f ca="1">IFERROR(__xludf.DUMMYFUNCTION("""COMPUTED_VALUE"""),"")</f>
        <v/>
      </c>
      <c r="H481" s="17" t="str">
        <v/>
      </c>
    </row>
    <row r="482" spans="5:8" ht="13.2">
      <c r="E482" s="17" t="str">
        <f ca="1">IFERROR(__xludf.DUMMYFUNCTION("""COMPUTED_VALUE"""),"")</f>
        <v/>
      </c>
      <c r="F482" s="17" t="str">
        <f ca="1">IFERROR(__xludf.DUMMYFUNCTION("""COMPUTED_VALUE"""),"")</f>
        <v/>
      </c>
      <c r="G482" s="17" t="str">
        <f ca="1">IFERROR(__xludf.DUMMYFUNCTION("""COMPUTED_VALUE"""),"")</f>
        <v/>
      </c>
      <c r="H482" s="17" t="str">
        <v/>
      </c>
    </row>
    <row r="483" spans="5:8" ht="13.2">
      <c r="E483" s="17" t="str">
        <f ca="1">IFERROR(__xludf.DUMMYFUNCTION("""COMPUTED_VALUE"""),"")</f>
        <v/>
      </c>
      <c r="F483" s="17" t="str">
        <f ca="1">IFERROR(__xludf.DUMMYFUNCTION("""COMPUTED_VALUE"""),"")</f>
        <v/>
      </c>
      <c r="G483" s="17" t="str">
        <f ca="1">IFERROR(__xludf.DUMMYFUNCTION("""COMPUTED_VALUE"""),"")</f>
        <v/>
      </c>
      <c r="H483" s="17" t="str">
        <v/>
      </c>
    </row>
    <row r="484" spans="5:8" ht="13.2">
      <c r="E484" s="17" t="str">
        <f ca="1">IFERROR(__xludf.DUMMYFUNCTION("""COMPUTED_VALUE"""),"")</f>
        <v/>
      </c>
      <c r="F484" s="17" t="str">
        <f ca="1">IFERROR(__xludf.DUMMYFUNCTION("""COMPUTED_VALUE"""),"")</f>
        <v/>
      </c>
      <c r="G484" s="17" t="str">
        <f ca="1">IFERROR(__xludf.DUMMYFUNCTION("""COMPUTED_VALUE"""),"")</f>
        <v/>
      </c>
      <c r="H484" s="17" t="str">
        <v/>
      </c>
    </row>
    <row r="485" spans="5:8" ht="13.2">
      <c r="E485" s="17" t="str">
        <f ca="1">IFERROR(__xludf.DUMMYFUNCTION("""COMPUTED_VALUE"""),"")</f>
        <v/>
      </c>
      <c r="F485" s="17" t="str">
        <f ca="1">IFERROR(__xludf.DUMMYFUNCTION("""COMPUTED_VALUE"""),"")</f>
        <v/>
      </c>
      <c r="G485" s="17" t="str">
        <f ca="1">IFERROR(__xludf.DUMMYFUNCTION("""COMPUTED_VALUE"""),"")</f>
        <v/>
      </c>
      <c r="H485" s="17" t="str">
        <v/>
      </c>
    </row>
    <row r="486" spans="5:8" ht="13.2">
      <c r="E486" s="17" t="str">
        <f ca="1">IFERROR(__xludf.DUMMYFUNCTION("""COMPUTED_VALUE"""),"")</f>
        <v/>
      </c>
      <c r="F486" s="17" t="str">
        <f ca="1">IFERROR(__xludf.DUMMYFUNCTION("""COMPUTED_VALUE"""),"")</f>
        <v/>
      </c>
      <c r="G486" s="17" t="str">
        <f ca="1">IFERROR(__xludf.DUMMYFUNCTION("""COMPUTED_VALUE"""),"")</f>
        <v/>
      </c>
      <c r="H486" s="17" t="str">
        <v/>
      </c>
    </row>
    <row r="487" spans="5:8" ht="13.2">
      <c r="E487" s="17" t="str">
        <f ca="1">IFERROR(__xludf.DUMMYFUNCTION("""COMPUTED_VALUE"""),"")</f>
        <v/>
      </c>
      <c r="F487" s="17" t="str">
        <f ca="1">IFERROR(__xludf.DUMMYFUNCTION("""COMPUTED_VALUE"""),"")</f>
        <v/>
      </c>
      <c r="G487" s="17" t="str">
        <f ca="1">IFERROR(__xludf.DUMMYFUNCTION("""COMPUTED_VALUE"""),"")</f>
        <v/>
      </c>
      <c r="H487" s="17" t="str">
        <v/>
      </c>
    </row>
    <row r="488" spans="5:8" ht="13.2">
      <c r="E488" s="17" t="str">
        <f ca="1">IFERROR(__xludf.DUMMYFUNCTION("""COMPUTED_VALUE"""),"")</f>
        <v/>
      </c>
      <c r="F488" s="17" t="str">
        <f ca="1">IFERROR(__xludf.DUMMYFUNCTION("""COMPUTED_VALUE"""),"")</f>
        <v/>
      </c>
      <c r="G488" s="17" t="str">
        <f ca="1">IFERROR(__xludf.DUMMYFUNCTION("""COMPUTED_VALUE"""),"")</f>
        <v/>
      </c>
      <c r="H488" s="17" t="str">
        <v/>
      </c>
    </row>
    <row r="489" spans="5:8" ht="13.2">
      <c r="E489" s="17" t="str">
        <f ca="1">IFERROR(__xludf.DUMMYFUNCTION("""COMPUTED_VALUE"""),"")</f>
        <v/>
      </c>
      <c r="F489" s="17" t="str">
        <f ca="1">IFERROR(__xludf.DUMMYFUNCTION("""COMPUTED_VALUE"""),"")</f>
        <v/>
      </c>
      <c r="G489" s="17" t="str">
        <f ca="1">IFERROR(__xludf.DUMMYFUNCTION("""COMPUTED_VALUE"""),"")</f>
        <v/>
      </c>
      <c r="H489" s="17" t="str">
        <v/>
      </c>
    </row>
    <row r="490" spans="5:8" ht="13.2">
      <c r="E490" s="17" t="str">
        <f ca="1">IFERROR(__xludf.DUMMYFUNCTION("""COMPUTED_VALUE"""),"")</f>
        <v/>
      </c>
      <c r="F490" s="17" t="str">
        <f ca="1">IFERROR(__xludf.DUMMYFUNCTION("""COMPUTED_VALUE"""),"")</f>
        <v/>
      </c>
      <c r="G490" s="17" t="str">
        <f ca="1">IFERROR(__xludf.DUMMYFUNCTION("""COMPUTED_VALUE"""),"")</f>
        <v/>
      </c>
      <c r="H490" s="17" t="str">
        <v/>
      </c>
    </row>
    <row r="491" spans="5:8" ht="13.2">
      <c r="E491" s="17" t="str">
        <f ca="1">IFERROR(__xludf.DUMMYFUNCTION("""COMPUTED_VALUE"""),"")</f>
        <v/>
      </c>
      <c r="F491" s="17" t="str">
        <f ca="1">IFERROR(__xludf.DUMMYFUNCTION("""COMPUTED_VALUE"""),"")</f>
        <v/>
      </c>
      <c r="G491" s="17" t="str">
        <f ca="1">IFERROR(__xludf.DUMMYFUNCTION("""COMPUTED_VALUE"""),"")</f>
        <v/>
      </c>
      <c r="H491" s="17" t="str">
        <v/>
      </c>
    </row>
    <row r="492" spans="5:8" ht="13.2">
      <c r="E492" s="17" t="str">
        <f ca="1">IFERROR(__xludf.DUMMYFUNCTION("""COMPUTED_VALUE"""),"")</f>
        <v/>
      </c>
      <c r="F492" s="17" t="str">
        <f ca="1">IFERROR(__xludf.DUMMYFUNCTION("""COMPUTED_VALUE"""),"")</f>
        <v/>
      </c>
      <c r="G492" s="17" t="str">
        <f ca="1">IFERROR(__xludf.DUMMYFUNCTION("""COMPUTED_VALUE"""),"")</f>
        <v/>
      </c>
      <c r="H492" s="17" t="str">
        <v/>
      </c>
    </row>
    <row r="493" spans="5:8" ht="13.2">
      <c r="E493" s="17" t="str">
        <f ca="1">IFERROR(__xludf.DUMMYFUNCTION("""COMPUTED_VALUE"""),"")</f>
        <v/>
      </c>
      <c r="F493" s="17" t="str">
        <f ca="1">IFERROR(__xludf.DUMMYFUNCTION("""COMPUTED_VALUE"""),"")</f>
        <v/>
      </c>
      <c r="G493" s="17" t="str">
        <f ca="1">IFERROR(__xludf.DUMMYFUNCTION("""COMPUTED_VALUE"""),"")</f>
        <v/>
      </c>
      <c r="H493" s="17" t="str">
        <v/>
      </c>
    </row>
    <row r="494" spans="5:8" ht="13.2">
      <c r="E494" s="17" t="str">
        <f ca="1">IFERROR(__xludf.DUMMYFUNCTION("""COMPUTED_VALUE"""),"")</f>
        <v/>
      </c>
      <c r="F494" s="17" t="str">
        <f ca="1">IFERROR(__xludf.DUMMYFUNCTION("""COMPUTED_VALUE"""),"")</f>
        <v/>
      </c>
      <c r="G494" s="17" t="str">
        <f ca="1">IFERROR(__xludf.DUMMYFUNCTION("""COMPUTED_VALUE"""),"")</f>
        <v/>
      </c>
      <c r="H494" s="17" t="str">
        <v/>
      </c>
    </row>
    <row r="495" spans="5:8" ht="13.2">
      <c r="E495" s="17" t="str">
        <f ca="1">IFERROR(__xludf.DUMMYFUNCTION("""COMPUTED_VALUE"""),"")</f>
        <v/>
      </c>
      <c r="F495" s="17" t="str">
        <f ca="1">IFERROR(__xludf.DUMMYFUNCTION("""COMPUTED_VALUE"""),"")</f>
        <v/>
      </c>
      <c r="G495" s="17" t="str">
        <f ca="1">IFERROR(__xludf.DUMMYFUNCTION("""COMPUTED_VALUE"""),"")</f>
        <v/>
      </c>
      <c r="H495" s="17" t="str">
        <v/>
      </c>
    </row>
    <row r="496" spans="5:8" ht="13.2">
      <c r="E496" s="17" t="str">
        <f ca="1">IFERROR(__xludf.DUMMYFUNCTION("""COMPUTED_VALUE"""),"")</f>
        <v/>
      </c>
      <c r="F496" s="17" t="str">
        <f ca="1">IFERROR(__xludf.DUMMYFUNCTION("""COMPUTED_VALUE"""),"")</f>
        <v/>
      </c>
      <c r="G496" s="17" t="str">
        <f ca="1">IFERROR(__xludf.DUMMYFUNCTION("""COMPUTED_VALUE"""),"")</f>
        <v/>
      </c>
      <c r="H496" s="17" t="str">
        <v/>
      </c>
    </row>
    <row r="497" spans="5:8" ht="13.2">
      <c r="E497" s="17" t="str">
        <f ca="1">IFERROR(__xludf.DUMMYFUNCTION("""COMPUTED_VALUE"""),"")</f>
        <v/>
      </c>
      <c r="F497" s="17" t="str">
        <f ca="1">IFERROR(__xludf.DUMMYFUNCTION("""COMPUTED_VALUE"""),"")</f>
        <v/>
      </c>
      <c r="G497" s="17" t="str">
        <f ca="1">IFERROR(__xludf.DUMMYFUNCTION("""COMPUTED_VALUE"""),"")</f>
        <v/>
      </c>
      <c r="H497" s="17" t="str">
        <v/>
      </c>
    </row>
    <row r="498" spans="5:8" ht="13.2">
      <c r="E498" s="17" t="str">
        <f ca="1">IFERROR(__xludf.DUMMYFUNCTION("""COMPUTED_VALUE"""),"")</f>
        <v/>
      </c>
      <c r="F498" s="17" t="str">
        <f ca="1">IFERROR(__xludf.DUMMYFUNCTION("""COMPUTED_VALUE"""),"")</f>
        <v/>
      </c>
      <c r="G498" s="17" t="str">
        <f ca="1">IFERROR(__xludf.DUMMYFUNCTION("""COMPUTED_VALUE"""),"")</f>
        <v/>
      </c>
      <c r="H498" s="17" t="str">
        <v/>
      </c>
    </row>
    <row r="499" spans="5:8" ht="13.2">
      <c r="E499" s="17" t="str">
        <f ca="1">IFERROR(__xludf.DUMMYFUNCTION("""COMPUTED_VALUE"""),"")</f>
        <v/>
      </c>
      <c r="F499" s="17" t="str">
        <f ca="1">IFERROR(__xludf.DUMMYFUNCTION("""COMPUTED_VALUE"""),"")</f>
        <v/>
      </c>
      <c r="G499" s="17" t="str">
        <f ca="1">IFERROR(__xludf.DUMMYFUNCTION("""COMPUTED_VALUE"""),"")</f>
        <v/>
      </c>
      <c r="H499" s="17" t="str">
        <v/>
      </c>
    </row>
    <row r="500" spans="5:8" ht="13.2">
      <c r="E500" s="17" t="str">
        <f ca="1">IFERROR(__xludf.DUMMYFUNCTION("""COMPUTED_VALUE"""),"")</f>
        <v/>
      </c>
      <c r="F500" s="17" t="str">
        <f ca="1">IFERROR(__xludf.DUMMYFUNCTION("""COMPUTED_VALUE"""),"")</f>
        <v/>
      </c>
      <c r="G500" s="17" t="str">
        <f ca="1">IFERROR(__xludf.DUMMYFUNCTION("""COMPUTED_VALUE"""),"")</f>
        <v/>
      </c>
      <c r="H500" s="17" t="str">
        <v/>
      </c>
    </row>
    <row r="501" spans="5:8" ht="13.2">
      <c r="E501" s="17" t="str">
        <f ca="1">IFERROR(__xludf.DUMMYFUNCTION("""COMPUTED_VALUE"""),"")</f>
        <v/>
      </c>
      <c r="F501" s="17" t="str">
        <f ca="1">IFERROR(__xludf.DUMMYFUNCTION("""COMPUTED_VALUE"""),"")</f>
        <v/>
      </c>
      <c r="G501" s="17" t="str">
        <f ca="1">IFERROR(__xludf.DUMMYFUNCTION("""COMPUTED_VALUE"""),"")</f>
        <v/>
      </c>
      <c r="H501" s="17" t="str">
        <v/>
      </c>
    </row>
    <row r="502" spans="5:8" ht="13.2">
      <c r="E502" s="17" t="str">
        <f ca="1">IFERROR(__xludf.DUMMYFUNCTION("""COMPUTED_VALUE"""),"")</f>
        <v/>
      </c>
      <c r="F502" s="17" t="str">
        <f ca="1">IFERROR(__xludf.DUMMYFUNCTION("""COMPUTED_VALUE"""),"")</f>
        <v/>
      </c>
      <c r="G502" s="17" t="str">
        <f ca="1">IFERROR(__xludf.DUMMYFUNCTION("""COMPUTED_VALUE"""),"")</f>
        <v/>
      </c>
      <c r="H502" s="17" t="str">
        <v/>
      </c>
    </row>
    <row r="503" spans="5:8" ht="13.2">
      <c r="E503" s="17" t="str">
        <f ca="1">IFERROR(__xludf.DUMMYFUNCTION("""COMPUTED_VALUE"""),"")</f>
        <v/>
      </c>
      <c r="F503" s="17" t="str">
        <f ca="1">IFERROR(__xludf.DUMMYFUNCTION("""COMPUTED_VALUE"""),"")</f>
        <v/>
      </c>
      <c r="G503" s="17" t="str">
        <f ca="1">IFERROR(__xludf.DUMMYFUNCTION("""COMPUTED_VALUE"""),"")</f>
        <v/>
      </c>
      <c r="H503" s="17" t="str">
        <v/>
      </c>
    </row>
    <row r="504" spans="5:8" ht="13.2">
      <c r="E504" s="17" t="str">
        <f ca="1">IFERROR(__xludf.DUMMYFUNCTION("""COMPUTED_VALUE"""),"")</f>
        <v/>
      </c>
      <c r="F504" s="17" t="str">
        <f ca="1">IFERROR(__xludf.DUMMYFUNCTION("""COMPUTED_VALUE"""),"")</f>
        <v/>
      </c>
      <c r="G504" s="17" t="str">
        <f ca="1">IFERROR(__xludf.DUMMYFUNCTION("""COMPUTED_VALUE"""),"")</f>
        <v/>
      </c>
      <c r="H504" s="17" t="str">
        <v/>
      </c>
    </row>
    <row r="505" spans="5:8" ht="13.2">
      <c r="E505" s="17" t="str">
        <f ca="1">IFERROR(__xludf.DUMMYFUNCTION("""COMPUTED_VALUE"""),"")</f>
        <v/>
      </c>
      <c r="F505" s="17" t="str">
        <f ca="1">IFERROR(__xludf.DUMMYFUNCTION("""COMPUTED_VALUE"""),"")</f>
        <v/>
      </c>
      <c r="G505" s="17" t="str">
        <f ca="1">IFERROR(__xludf.DUMMYFUNCTION("""COMPUTED_VALUE"""),"")</f>
        <v/>
      </c>
      <c r="H505" s="17" t="str">
        <v/>
      </c>
    </row>
    <row r="506" spans="5:8" ht="13.2">
      <c r="E506" s="17" t="str">
        <f ca="1">IFERROR(__xludf.DUMMYFUNCTION("""COMPUTED_VALUE"""),"")</f>
        <v/>
      </c>
      <c r="F506" s="17" t="str">
        <f ca="1">IFERROR(__xludf.DUMMYFUNCTION("""COMPUTED_VALUE"""),"")</f>
        <v/>
      </c>
      <c r="G506" s="17" t="str">
        <f ca="1">IFERROR(__xludf.DUMMYFUNCTION("""COMPUTED_VALUE"""),"")</f>
        <v/>
      </c>
      <c r="H506" s="17" t="str">
        <v/>
      </c>
    </row>
    <row r="507" spans="5:8" ht="13.2">
      <c r="E507" s="17" t="str">
        <f ca="1">IFERROR(__xludf.DUMMYFUNCTION("""COMPUTED_VALUE"""),"")</f>
        <v/>
      </c>
      <c r="F507" s="17" t="str">
        <f ca="1">IFERROR(__xludf.DUMMYFUNCTION("""COMPUTED_VALUE"""),"")</f>
        <v/>
      </c>
      <c r="G507" s="17" t="str">
        <f ca="1">IFERROR(__xludf.DUMMYFUNCTION("""COMPUTED_VALUE"""),"")</f>
        <v/>
      </c>
      <c r="H507" s="17" t="str">
        <v/>
      </c>
    </row>
    <row r="508" spans="5:8" ht="13.2">
      <c r="E508" s="17" t="str">
        <f ca="1">IFERROR(__xludf.DUMMYFUNCTION("""COMPUTED_VALUE"""),"")</f>
        <v/>
      </c>
      <c r="F508" s="17" t="str">
        <f ca="1">IFERROR(__xludf.DUMMYFUNCTION("""COMPUTED_VALUE"""),"")</f>
        <v/>
      </c>
      <c r="G508" s="17" t="str">
        <f ca="1">IFERROR(__xludf.DUMMYFUNCTION("""COMPUTED_VALUE"""),"")</f>
        <v/>
      </c>
      <c r="H508" s="17" t="str">
        <v/>
      </c>
    </row>
    <row r="509" spans="5:8" ht="13.2">
      <c r="E509" s="17" t="str">
        <f ca="1">IFERROR(__xludf.DUMMYFUNCTION("""COMPUTED_VALUE"""),"")</f>
        <v/>
      </c>
      <c r="F509" s="17" t="str">
        <f ca="1">IFERROR(__xludf.DUMMYFUNCTION("""COMPUTED_VALUE"""),"")</f>
        <v/>
      </c>
      <c r="G509" s="17" t="str">
        <f ca="1">IFERROR(__xludf.DUMMYFUNCTION("""COMPUTED_VALUE"""),"")</f>
        <v/>
      </c>
      <c r="H509" s="17" t="str">
        <v/>
      </c>
    </row>
    <row r="510" spans="5:8" ht="13.2">
      <c r="E510" s="17" t="str">
        <f ca="1">IFERROR(__xludf.DUMMYFUNCTION("""COMPUTED_VALUE"""),"")</f>
        <v/>
      </c>
      <c r="F510" s="17" t="str">
        <f ca="1">IFERROR(__xludf.DUMMYFUNCTION("""COMPUTED_VALUE"""),"")</f>
        <v/>
      </c>
      <c r="G510" s="17" t="str">
        <f ca="1">IFERROR(__xludf.DUMMYFUNCTION("""COMPUTED_VALUE"""),"")</f>
        <v/>
      </c>
      <c r="H510" s="17" t="str">
        <v/>
      </c>
    </row>
    <row r="511" spans="5:8" ht="13.2">
      <c r="E511" s="17" t="str">
        <f ca="1">IFERROR(__xludf.DUMMYFUNCTION("""COMPUTED_VALUE"""),"")</f>
        <v/>
      </c>
      <c r="F511" s="17" t="str">
        <f ca="1">IFERROR(__xludf.DUMMYFUNCTION("""COMPUTED_VALUE"""),"")</f>
        <v/>
      </c>
      <c r="G511" s="17" t="str">
        <f ca="1">IFERROR(__xludf.DUMMYFUNCTION("""COMPUTED_VALUE"""),"")</f>
        <v/>
      </c>
      <c r="H511" s="17" t="str">
        <v/>
      </c>
    </row>
    <row r="512" spans="5:8" ht="13.2">
      <c r="E512" s="17" t="str">
        <f ca="1">IFERROR(__xludf.DUMMYFUNCTION("""COMPUTED_VALUE"""),"")</f>
        <v/>
      </c>
      <c r="F512" s="17" t="str">
        <f ca="1">IFERROR(__xludf.DUMMYFUNCTION("""COMPUTED_VALUE"""),"")</f>
        <v/>
      </c>
      <c r="G512" s="17" t="str">
        <f ca="1">IFERROR(__xludf.DUMMYFUNCTION("""COMPUTED_VALUE"""),"")</f>
        <v/>
      </c>
      <c r="H512" s="17" t="str">
        <v/>
      </c>
    </row>
    <row r="513" spans="5:8" ht="13.2">
      <c r="E513" s="17" t="str">
        <f ca="1">IFERROR(__xludf.DUMMYFUNCTION("""COMPUTED_VALUE"""),"")</f>
        <v/>
      </c>
      <c r="F513" s="17" t="str">
        <f ca="1">IFERROR(__xludf.DUMMYFUNCTION("""COMPUTED_VALUE"""),"")</f>
        <v/>
      </c>
      <c r="G513" s="17" t="str">
        <f ca="1">IFERROR(__xludf.DUMMYFUNCTION("""COMPUTED_VALUE"""),"")</f>
        <v/>
      </c>
      <c r="H513" s="17" t="str">
        <v/>
      </c>
    </row>
    <row r="514" spans="5:8" ht="13.2">
      <c r="E514" s="17" t="str">
        <f ca="1">IFERROR(__xludf.DUMMYFUNCTION("""COMPUTED_VALUE"""),"")</f>
        <v/>
      </c>
      <c r="F514" s="17" t="str">
        <f ca="1">IFERROR(__xludf.DUMMYFUNCTION("""COMPUTED_VALUE"""),"")</f>
        <v/>
      </c>
      <c r="G514" s="17" t="str">
        <f ca="1">IFERROR(__xludf.DUMMYFUNCTION("""COMPUTED_VALUE"""),"")</f>
        <v/>
      </c>
      <c r="H514" s="17" t="str">
        <v/>
      </c>
    </row>
    <row r="515" spans="5:8" ht="13.2">
      <c r="E515" s="17" t="str">
        <f ca="1">IFERROR(__xludf.DUMMYFUNCTION("""COMPUTED_VALUE"""),"")</f>
        <v/>
      </c>
      <c r="F515" s="17" t="str">
        <f ca="1">IFERROR(__xludf.DUMMYFUNCTION("""COMPUTED_VALUE"""),"")</f>
        <v/>
      </c>
      <c r="G515" s="17" t="str">
        <f ca="1">IFERROR(__xludf.DUMMYFUNCTION("""COMPUTED_VALUE"""),"")</f>
        <v/>
      </c>
      <c r="H515" s="17" t="str">
        <v/>
      </c>
    </row>
    <row r="516" spans="5:8" ht="13.2">
      <c r="E516" s="17" t="str">
        <f ca="1">IFERROR(__xludf.DUMMYFUNCTION("""COMPUTED_VALUE"""),"")</f>
        <v/>
      </c>
      <c r="F516" s="17" t="str">
        <f ca="1">IFERROR(__xludf.DUMMYFUNCTION("""COMPUTED_VALUE"""),"")</f>
        <v/>
      </c>
      <c r="G516" s="17" t="str">
        <f ca="1">IFERROR(__xludf.DUMMYFUNCTION("""COMPUTED_VALUE"""),"")</f>
        <v/>
      </c>
      <c r="H516" s="17" t="str">
        <v/>
      </c>
    </row>
    <row r="517" spans="5:8" ht="13.2">
      <c r="E517" s="17" t="str">
        <f ca="1">IFERROR(__xludf.DUMMYFUNCTION("""COMPUTED_VALUE"""),"")</f>
        <v/>
      </c>
      <c r="F517" s="17" t="str">
        <f ca="1">IFERROR(__xludf.DUMMYFUNCTION("""COMPUTED_VALUE"""),"")</f>
        <v/>
      </c>
      <c r="G517" s="17" t="str">
        <f ca="1">IFERROR(__xludf.DUMMYFUNCTION("""COMPUTED_VALUE"""),"")</f>
        <v/>
      </c>
      <c r="H517" s="17" t="str">
        <v/>
      </c>
    </row>
    <row r="518" spans="5:8" ht="13.2">
      <c r="E518" s="17" t="str">
        <f ca="1">IFERROR(__xludf.DUMMYFUNCTION("""COMPUTED_VALUE"""),"")</f>
        <v/>
      </c>
      <c r="F518" s="17" t="str">
        <f ca="1">IFERROR(__xludf.DUMMYFUNCTION("""COMPUTED_VALUE"""),"")</f>
        <v/>
      </c>
      <c r="G518" s="17" t="str">
        <f ca="1">IFERROR(__xludf.DUMMYFUNCTION("""COMPUTED_VALUE"""),"")</f>
        <v/>
      </c>
      <c r="H518" s="17" t="str">
        <v/>
      </c>
    </row>
    <row r="519" spans="5:8" ht="13.2">
      <c r="E519" s="17" t="str">
        <f ca="1">IFERROR(__xludf.DUMMYFUNCTION("""COMPUTED_VALUE"""),"")</f>
        <v/>
      </c>
      <c r="F519" s="17" t="str">
        <f ca="1">IFERROR(__xludf.DUMMYFUNCTION("""COMPUTED_VALUE"""),"")</f>
        <v/>
      </c>
      <c r="G519" s="17" t="str">
        <f ca="1">IFERROR(__xludf.DUMMYFUNCTION("""COMPUTED_VALUE"""),"")</f>
        <v/>
      </c>
      <c r="H519" s="17" t="str">
        <v/>
      </c>
    </row>
    <row r="520" spans="5:8" ht="13.2">
      <c r="E520" s="17" t="str">
        <f ca="1">IFERROR(__xludf.DUMMYFUNCTION("""COMPUTED_VALUE"""),"")</f>
        <v/>
      </c>
      <c r="F520" s="17" t="str">
        <f ca="1">IFERROR(__xludf.DUMMYFUNCTION("""COMPUTED_VALUE"""),"")</f>
        <v/>
      </c>
      <c r="G520" s="17" t="str">
        <f ca="1">IFERROR(__xludf.DUMMYFUNCTION("""COMPUTED_VALUE"""),"")</f>
        <v/>
      </c>
      <c r="H520" s="17" t="str">
        <v/>
      </c>
    </row>
    <row r="521" spans="5:8" ht="13.2">
      <c r="E521" s="17" t="str">
        <f ca="1">IFERROR(__xludf.DUMMYFUNCTION("""COMPUTED_VALUE"""),"")</f>
        <v/>
      </c>
      <c r="F521" s="17" t="str">
        <f ca="1">IFERROR(__xludf.DUMMYFUNCTION("""COMPUTED_VALUE"""),"")</f>
        <v/>
      </c>
      <c r="G521" s="17" t="str">
        <f ca="1">IFERROR(__xludf.DUMMYFUNCTION("""COMPUTED_VALUE"""),"")</f>
        <v/>
      </c>
      <c r="H521" s="17" t="str">
        <v/>
      </c>
    </row>
    <row r="522" spans="5:8" ht="13.2">
      <c r="E522" s="17" t="str">
        <f ca="1">IFERROR(__xludf.DUMMYFUNCTION("""COMPUTED_VALUE"""),"")</f>
        <v/>
      </c>
      <c r="F522" s="17" t="str">
        <f ca="1">IFERROR(__xludf.DUMMYFUNCTION("""COMPUTED_VALUE"""),"")</f>
        <v/>
      </c>
      <c r="G522" s="17" t="str">
        <f ca="1">IFERROR(__xludf.DUMMYFUNCTION("""COMPUTED_VALUE"""),"")</f>
        <v/>
      </c>
      <c r="H522" s="17" t="str">
        <v/>
      </c>
    </row>
    <row r="523" spans="5:8" ht="13.2">
      <c r="E523" s="17" t="str">
        <f ca="1">IFERROR(__xludf.DUMMYFUNCTION("""COMPUTED_VALUE"""),"")</f>
        <v/>
      </c>
      <c r="F523" s="17" t="str">
        <f ca="1">IFERROR(__xludf.DUMMYFUNCTION("""COMPUTED_VALUE"""),"")</f>
        <v/>
      </c>
      <c r="G523" s="17" t="str">
        <f ca="1">IFERROR(__xludf.DUMMYFUNCTION("""COMPUTED_VALUE"""),"")</f>
        <v/>
      </c>
      <c r="H523" s="17" t="str">
        <v/>
      </c>
    </row>
    <row r="524" spans="5:8" ht="13.2">
      <c r="E524" s="17" t="str">
        <f ca="1">IFERROR(__xludf.DUMMYFUNCTION("""COMPUTED_VALUE"""),"")</f>
        <v/>
      </c>
      <c r="F524" s="17" t="str">
        <f ca="1">IFERROR(__xludf.DUMMYFUNCTION("""COMPUTED_VALUE"""),"")</f>
        <v/>
      </c>
      <c r="G524" s="17" t="str">
        <f ca="1">IFERROR(__xludf.DUMMYFUNCTION("""COMPUTED_VALUE"""),"")</f>
        <v/>
      </c>
      <c r="H524" s="17" t="str">
        <v/>
      </c>
    </row>
    <row r="525" spans="5:8" ht="13.2">
      <c r="E525" s="17" t="str">
        <f ca="1">IFERROR(__xludf.DUMMYFUNCTION("""COMPUTED_VALUE"""),"")</f>
        <v/>
      </c>
      <c r="F525" s="17" t="str">
        <f ca="1">IFERROR(__xludf.DUMMYFUNCTION("""COMPUTED_VALUE"""),"")</f>
        <v/>
      </c>
      <c r="G525" s="17" t="str">
        <f ca="1">IFERROR(__xludf.DUMMYFUNCTION("""COMPUTED_VALUE"""),"")</f>
        <v/>
      </c>
      <c r="H525" s="17" t="str">
        <v/>
      </c>
    </row>
    <row r="526" spans="5:8" ht="13.2">
      <c r="E526" s="17" t="str">
        <f ca="1">IFERROR(__xludf.DUMMYFUNCTION("""COMPUTED_VALUE"""),"")</f>
        <v/>
      </c>
      <c r="F526" s="17" t="str">
        <f ca="1">IFERROR(__xludf.DUMMYFUNCTION("""COMPUTED_VALUE"""),"")</f>
        <v/>
      </c>
      <c r="G526" s="17" t="str">
        <f ca="1">IFERROR(__xludf.DUMMYFUNCTION("""COMPUTED_VALUE"""),"")</f>
        <v/>
      </c>
      <c r="H526" s="17" t="str">
        <v/>
      </c>
    </row>
    <row r="527" spans="5:8" ht="13.2">
      <c r="E527" s="17" t="str">
        <f ca="1">IFERROR(__xludf.DUMMYFUNCTION("""COMPUTED_VALUE"""),"")</f>
        <v/>
      </c>
      <c r="F527" s="17" t="str">
        <f ca="1">IFERROR(__xludf.DUMMYFUNCTION("""COMPUTED_VALUE"""),"")</f>
        <v/>
      </c>
      <c r="G527" s="17" t="str">
        <f ca="1">IFERROR(__xludf.DUMMYFUNCTION("""COMPUTED_VALUE"""),"")</f>
        <v/>
      </c>
      <c r="H527" s="17" t="str">
        <v/>
      </c>
    </row>
    <row r="528" spans="5:8" ht="13.2">
      <c r="E528" s="17" t="str">
        <f ca="1">IFERROR(__xludf.DUMMYFUNCTION("""COMPUTED_VALUE"""),"")</f>
        <v/>
      </c>
      <c r="F528" s="17" t="str">
        <f ca="1">IFERROR(__xludf.DUMMYFUNCTION("""COMPUTED_VALUE"""),"")</f>
        <v/>
      </c>
      <c r="G528" s="17" t="str">
        <f ca="1">IFERROR(__xludf.DUMMYFUNCTION("""COMPUTED_VALUE"""),"")</f>
        <v/>
      </c>
      <c r="H528" s="17" t="str">
        <v/>
      </c>
    </row>
    <row r="529" spans="5:8" ht="13.2">
      <c r="E529" s="17" t="str">
        <f ca="1">IFERROR(__xludf.DUMMYFUNCTION("""COMPUTED_VALUE"""),"")</f>
        <v/>
      </c>
      <c r="F529" s="17" t="str">
        <f ca="1">IFERROR(__xludf.DUMMYFUNCTION("""COMPUTED_VALUE"""),"")</f>
        <v/>
      </c>
      <c r="G529" s="17" t="str">
        <f ca="1">IFERROR(__xludf.DUMMYFUNCTION("""COMPUTED_VALUE"""),"")</f>
        <v/>
      </c>
      <c r="H529" s="17" t="str">
        <v/>
      </c>
    </row>
    <row r="530" spans="5:8" ht="13.2">
      <c r="E530" s="17" t="str">
        <f ca="1">IFERROR(__xludf.DUMMYFUNCTION("""COMPUTED_VALUE"""),"")</f>
        <v/>
      </c>
      <c r="F530" s="17" t="str">
        <f ca="1">IFERROR(__xludf.DUMMYFUNCTION("""COMPUTED_VALUE"""),"")</f>
        <v/>
      </c>
      <c r="G530" s="17" t="str">
        <f ca="1">IFERROR(__xludf.DUMMYFUNCTION("""COMPUTED_VALUE"""),"")</f>
        <v/>
      </c>
      <c r="H530" s="17" t="str">
        <v/>
      </c>
    </row>
    <row r="531" spans="5:8" ht="13.2">
      <c r="E531" s="17" t="str">
        <f ca="1">IFERROR(__xludf.DUMMYFUNCTION("""COMPUTED_VALUE"""),"")</f>
        <v/>
      </c>
      <c r="F531" s="17" t="str">
        <f ca="1">IFERROR(__xludf.DUMMYFUNCTION("""COMPUTED_VALUE"""),"")</f>
        <v/>
      </c>
      <c r="G531" s="17" t="str">
        <f ca="1">IFERROR(__xludf.DUMMYFUNCTION("""COMPUTED_VALUE"""),"")</f>
        <v/>
      </c>
      <c r="H531" s="17" t="str">
        <v/>
      </c>
    </row>
    <row r="532" spans="5:8" ht="13.2">
      <c r="E532" s="17" t="str">
        <f ca="1">IFERROR(__xludf.DUMMYFUNCTION("""COMPUTED_VALUE"""),"")</f>
        <v/>
      </c>
      <c r="F532" s="17" t="str">
        <f ca="1">IFERROR(__xludf.DUMMYFUNCTION("""COMPUTED_VALUE"""),"")</f>
        <v/>
      </c>
      <c r="G532" s="17" t="str">
        <f ca="1">IFERROR(__xludf.DUMMYFUNCTION("""COMPUTED_VALUE"""),"")</f>
        <v/>
      </c>
      <c r="H532" s="17" t="str">
        <v/>
      </c>
    </row>
    <row r="533" spans="5:8" ht="13.2">
      <c r="E533" s="17" t="str">
        <f ca="1">IFERROR(__xludf.DUMMYFUNCTION("""COMPUTED_VALUE"""),"")</f>
        <v/>
      </c>
      <c r="F533" s="17" t="str">
        <f ca="1">IFERROR(__xludf.DUMMYFUNCTION("""COMPUTED_VALUE"""),"")</f>
        <v/>
      </c>
      <c r="G533" s="17" t="str">
        <f ca="1">IFERROR(__xludf.DUMMYFUNCTION("""COMPUTED_VALUE"""),"")</f>
        <v/>
      </c>
      <c r="H533" s="17" t="str">
        <v/>
      </c>
    </row>
    <row r="534" spans="5:8" ht="13.2">
      <c r="E534" s="17" t="str">
        <f ca="1">IFERROR(__xludf.DUMMYFUNCTION("""COMPUTED_VALUE"""),"")</f>
        <v/>
      </c>
      <c r="F534" s="17" t="str">
        <f ca="1">IFERROR(__xludf.DUMMYFUNCTION("""COMPUTED_VALUE"""),"")</f>
        <v/>
      </c>
      <c r="G534" s="17" t="str">
        <f ca="1">IFERROR(__xludf.DUMMYFUNCTION("""COMPUTED_VALUE"""),"")</f>
        <v/>
      </c>
      <c r="H534" s="17" t="str">
        <v/>
      </c>
    </row>
    <row r="535" spans="5:8" ht="13.2">
      <c r="E535" s="17" t="str">
        <f ca="1">IFERROR(__xludf.DUMMYFUNCTION("""COMPUTED_VALUE"""),"")</f>
        <v/>
      </c>
      <c r="F535" s="17" t="str">
        <f ca="1">IFERROR(__xludf.DUMMYFUNCTION("""COMPUTED_VALUE"""),"")</f>
        <v/>
      </c>
      <c r="G535" s="17" t="str">
        <f ca="1">IFERROR(__xludf.DUMMYFUNCTION("""COMPUTED_VALUE"""),"")</f>
        <v/>
      </c>
      <c r="H535" s="17" t="str">
        <v/>
      </c>
    </row>
    <row r="536" spans="5:8" ht="13.2">
      <c r="E536" s="17" t="str">
        <f ca="1">IFERROR(__xludf.DUMMYFUNCTION("""COMPUTED_VALUE"""),"")</f>
        <v/>
      </c>
      <c r="F536" s="17" t="str">
        <f ca="1">IFERROR(__xludf.DUMMYFUNCTION("""COMPUTED_VALUE"""),"")</f>
        <v/>
      </c>
      <c r="G536" s="17" t="str">
        <f ca="1">IFERROR(__xludf.DUMMYFUNCTION("""COMPUTED_VALUE"""),"")</f>
        <v/>
      </c>
      <c r="H536" s="17" t="str">
        <v/>
      </c>
    </row>
    <row r="537" spans="5:8" ht="13.2">
      <c r="E537" s="17" t="str">
        <f ca="1">IFERROR(__xludf.DUMMYFUNCTION("""COMPUTED_VALUE"""),"")</f>
        <v/>
      </c>
      <c r="F537" s="17" t="str">
        <f ca="1">IFERROR(__xludf.DUMMYFUNCTION("""COMPUTED_VALUE"""),"")</f>
        <v/>
      </c>
      <c r="G537" s="17" t="str">
        <f ca="1">IFERROR(__xludf.DUMMYFUNCTION("""COMPUTED_VALUE"""),"")</f>
        <v/>
      </c>
      <c r="H537" s="17" t="str">
        <v/>
      </c>
    </row>
    <row r="538" spans="5:8" ht="13.2">
      <c r="E538" s="17" t="str">
        <f ca="1">IFERROR(__xludf.DUMMYFUNCTION("""COMPUTED_VALUE"""),"")</f>
        <v/>
      </c>
      <c r="F538" s="17" t="str">
        <f ca="1">IFERROR(__xludf.DUMMYFUNCTION("""COMPUTED_VALUE"""),"")</f>
        <v/>
      </c>
      <c r="G538" s="17" t="str">
        <f ca="1">IFERROR(__xludf.DUMMYFUNCTION("""COMPUTED_VALUE"""),"")</f>
        <v/>
      </c>
      <c r="H538" s="17" t="str">
        <v/>
      </c>
    </row>
    <row r="539" spans="5:8" ht="13.2">
      <c r="E539" s="17" t="str">
        <f ca="1">IFERROR(__xludf.DUMMYFUNCTION("""COMPUTED_VALUE"""),"")</f>
        <v/>
      </c>
      <c r="F539" s="17" t="str">
        <f ca="1">IFERROR(__xludf.DUMMYFUNCTION("""COMPUTED_VALUE"""),"")</f>
        <v/>
      </c>
      <c r="G539" s="17" t="str">
        <f ca="1">IFERROR(__xludf.DUMMYFUNCTION("""COMPUTED_VALUE"""),"")</f>
        <v/>
      </c>
      <c r="H539" s="17" t="str">
        <v/>
      </c>
    </row>
    <row r="540" spans="5:8" ht="13.2">
      <c r="E540" s="17" t="str">
        <f ca="1">IFERROR(__xludf.DUMMYFUNCTION("""COMPUTED_VALUE"""),"")</f>
        <v/>
      </c>
      <c r="F540" s="17" t="str">
        <f ca="1">IFERROR(__xludf.DUMMYFUNCTION("""COMPUTED_VALUE"""),"")</f>
        <v/>
      </c>
      <c r="G540" s="17" t="str">
        <f ca="1">IFERROR(__xludf.DUMMYFUNCTION("""COMPUTED_VALUE"""),"")</f>
        <v/>
      </c>
      <c r="H540" s="17" t="str">
        <v/>
      </c>
    </row>
    <row r="541" spans="5:8" ht="13.2">
      <c r="E541" s="17" t="str">
        <f ca="1">IFERROR(__xludf.DUMMYFUNCTION("""COMPUTED_VALUE"""),"")</f>
        <v/>
      </c>
      <c r="F541" s="17" t="str">
        <f ca="1">IFERROR(__xludf.DUMMYFUNCTION("""COMPUTED_VALUE"""),"")</f>
        <v/>
      </c>
      <c r="G541" s="17" t="str">
        <f ca="1">IFERROR(__xludf.DUMMYFUNCTION("""COMPUTED_VALUE"""),"")</f>
        <v/>
      </c>
      <c r="H541" s="17" t="str">
        <v/>
      </c>
    </row>
    <row r="542" spans="5:8" ht="13.2">
      <c r="E542" s="17" t="str">
        <f ca="1">IFERROR(__xludf.DUMMYFUNCTION("""COMPUTED_VALUE"""),"")</f>
        <v/>
      </c>
      <c r="F542" s="17" t="str">
        <f ca="1">IFERROR(__xludf.DUMMYFUNCTION("""COMPUTED_VALUE"""),"")</f>
        <v/>
      </c>
      <c r="G542" s="17" t="str">
        <f ca="1">IFERROR(__xludf.DUMMYFUNCTION("""COMPUTED_VALUE"""),"")</f>
        <v/>
      </c>
      <c r="H542" s="17" t="str">
        <v/>
      </c>
    </row>
    <row r="543" spans="5:8" ht="13.2">
      <c r="E543" s="17" t="str">
        <f ca="1">IFERROR(__xludf.DUMMYFUNCTION("""COMPUTED_VALUE"""),"")</f>
        <v/>
      </c>
      <c r="F543" s="17" t="str">
        <f ca="1">IFERROR(__xludf.DUMMYFUNCTION("""COMPUTED_VALUE"""),"")</f>
        <v/>
      </c>
      <c r="G543" s="17" t="str">
        <f ca="1">IFERROR(__xludf.DUMMYFUNCTION("""COMPUTED_VALUE"""),"")</f>
        <v/>
      </c>
      <c r="H543" s="17" t="str">
        <v/>
      </c>
    </row>
    <row r="544" spans="5:8" ht="13.2">
      <c r="E544" s="17" t="str">
        <f ca="1">IFERROR(__xludf.DUMMYFUNCTION("""COMPUTED_VALUE"""),"")</f>
        <v/>
      </c>
      <c r="F544" s="17" t="str">
        <f ca="1">IFERROR(__xludf.DUMMYFUNCTION("""COMPUTED_VALUE"""),"")</f>
        <v/>
      </c>
      <c r="G544" s="17" t="str">
        <f ca="1">IFERROR(__xludf.DUMMYFUNCTION("""COMPUTED_VALUE"""),"")</f>
        <v/>
      </c>
      <c r="H544" s="17" t="str">
        <v/>
      </c>
    </row>
    <row r="545" spans="5:8" ht="13.2">
      <c r="E545" s="17" t="str">
        <f ca="1">IFERROR(__xludf.DUMMYFUNCTION("""COMPUTED_VALUE"""),"")</f>
        <v/>
      </c>
      <c r="F545" s="17" t="str">
        <f ca="1">IFERROR(__xludf.DUMMYFUNCTION("""COMPUTED_VALUE"""),"")</f>
        <v/>
      </c>
      <c r="G545" s="17" t="str">
        <f ca="1">IFERROR(__xludf.DUMMYFUNCTION("""COMPUTED_VALUE"""),"")</f>
        <v/>
      </c>
      <c r="H545" s="17" t="str">
        <v/>
      </c>
    </row>
    <row r="546" spans="5:8" ht="13.2">
      <c r="E546" s="17" t="str">
        <f ca="1">IFERROR(__xludf.DUMMYFUNCTION("""COMPUTED_VALUE"""),"")</f>
        <v/>
      </c>
      <c r="F546" s="17" t="str">
        <f ca="1">IFERROR(__xludf.DUMMYFUNCTION("""COMPUTED_VALUE"""),"")</f>
        <v/>
      </c>
      <c r="G546" s="17" t="str">
        <f ca="1">IFERROR(__xludf.DUMMYFUNCTION("""COMPUTED_VALUE"""),"")</f>
        <v/>
      </c>
      <c r="H546" s="17" t="str">
        <v/>
      </c>
    </row>
    <row r="547" spans="5:8" ht="13.2">
      <c r="E547" s="17" t="str">
        <f ca="1">IFERROR(__xludf.DUMMYFUNCTION("""COMPUTED_VALUE"""),"")</f>
        <v/>
      </c>
      <c r="F547" s="17" t="str">
        <f ca="1">IFERROR(__xludf.DUMMYFUNCTION("""COMPUTED_VALUE"""),"")</f>
        <v/>
      </c>
      <c r="G547" s="17" t="str">
        <f ca="1">IFERROR(__xludf.DUMMYFUNCTION("""COMPUTED_VALUE"""),"")</f>
        <v/>
      </c>
      <c r="H547" s="17" t="str">
        <v/>
      </c>
    </row>
    <row r="548" spans="5:8" ht="13.2">
      <c r="E548" s="17" t="str">
        <f ca="1">IFERROR(__xludf.DUMMYFUNCTION("""COMPUTED_VALUE"""),"")</f>
        <v/>
      </c>
      <c r="F548" s="17" t="str">
        <f ca="1">IFERROR(__xludf.DUMMYFUNCTION("""COMPUTED_VALUE"""),"")</f>
        <v/>
      </c>
      <c r="G548" s="17" t="str">
        <f ca="1">IFERROR(__xludf.DUMMYFUNCTION("""COMPUTED_VALUE"""),"")</f>
        <v/>
      </c>
      <c r="H548" s="17" t="str">
        <v/>
      </c>
    </row>
    <row r="549" spans="5:8" ht="13.2">
      <c r="E549" s="17" t="str">
        <f ca="1">IFERROR(__xludf.DUMMYFUNCTION("""COMPUTED_VALUE"""),"")</f>
        <v/>
      </c>
      <c r="F549" s="17" t="str">
        <f ca="1">IFERROR(__xludf.DUMMYFUNCTION("""COMPUTED_VALUE"""),"")</f>
        <v/>
      </c>
      <c r="G549" s="17" t="str">
        <f ca="1">IFERROR(__xludf.DUMMYFUNCTION("""COMPUTED_VALUE"""),"")</f>
        <v/>
      </c>
      <c r="H549" s="17" t="str">
        <v/>
      </c>
    </row>
    <row r="550" spans="5:8" ht="13.2">
      <c r="E550" s="17" t="str">
        <f ca="1">IFERROR(__xludf.DUMMYFUNCTION("""COMPUTED_VALUE"""),"")</f>
        <v/>
      </c>
      <c r="F550" s="17" t="str">
        <f ca="1">IFERROR(__xludf.DUMMYFUNCTION("""COMPUTED_VALUE"""),"")</f>
        <v/>
      </c>
      <c r="G550" s="17" t="str">
        <f ca="1">IFERROR(__xludf.DUMMYFUNCTION("""COMPUTED_VALUE"""),"")</f>
        <v/>
      </c>
      <c r="H550" s="17" t="str">
        <v/>
      </c>
    </row>
    <row r="551" spans="5:8" ht="13.2">
      <c r="E551" s="17" t="str">
        <f ca="1">IFERROR(__xludf.DUMMYFUNCTION("""COMPUTED_VALUE"""),"")</f>
        <v/>
      </c>
      <c r="F551" s="17" t="str">
        <f ca="1">IFERROR(__xludf.DUMMYFUNCTION("""COMPUTED_VALUE"""),"")</f>
        <v/>
      </c>
      <c r="G551" s="17" t="str">
        <f ca="1">IFERROR(__xludf.DUMMYFUNCTION("""COMPUTED_VALUE"""),"")</f>
        <v/>
      </c>
      <c r="H551" s="17" t="str">
        <v/>
      </c>
    </row>
    <row r="552" spans="5:8" ht="13.2">
      <c r="E552" s="17" t="str">
        <f ca="1">IFERROR(__xludf.DUMMYFUNCTION("""COMPUTED_VALUE"""),"")</f>
        <v/>
      </c>
      <c r="F552" s="17" t="str">
        <f ca="1">IFERROR(__xludf.DUMMYFUNCTION("""COMPUTED_VALUE"""),"")</f>
        <v/>
      </c>
      <c r="G552" s="17" t="str">
        <f ca="1">IFERROR(__xludf.DUMMYFUNCTION("""COMPUTED_VALUE"""),"")</f>
        <v/>
      </c>
      <c r="H552" s="17" t="str">
        <v/>
      </c>
    </row>
    <row r="553" spans="5:8" ht="13.2">
      <c r="E553" s="17" t="str">
        <f ca="1">IFERROR(__xludf.DUMMYFUNCTION("""COMPUTED_VALUE"""),"")</f>
        <v/>
      </c>
      <c r="F553" s="17" t="str">
        <f ca="1">IFERROR(__xludf.DUMMYFUNCTION("""COMPUTED_VALUE"""),"")</f>
        <v/>
      </c>
      <c r="G553" s="17" t="str">
        <f ca="1">IFERROR(__xludf.DUMMYFUNCTION("""COMPUTED_VALUE"""),"")</f>
        <v/>
      </c>
      <c r="H553" s="17" t="str">
        <v/>
      </c>
    </row>
    <row r="554" spans="5:8" ht="13.2">
      <c r="E554" s="17" t="str">
        <f ca="1">IFERROR(__xludf.DUMMYFUNCTION("""COMPUTED_VALUE"""),"")</f>
        <v/>
      </c>
      <c r="F554" s="17" t="str">
        <f ca="1">IFERROR(__xludf.DUMMYFUNCTION("""COMPUTED_VALUE"""),"")</f>
        <v/>
      </c>
      <c r="G554" s="17" t="str">
        <f ca="1">IFERROR(__xludf.DUMMYFUNCTION("""COMPUTED_VALUE"""),"")</f>
        <v/>
      </c>
      <c r="H554" s="17" t="str">
        <v/>
      </c>
    </row>
    <row r="555" spans="5:8" ht="13.2">
      <c r="E555" s="17" t="str">
        <f ca="1">IFERROR(__xludf.DUMMYFUNCTION("""COMPUTED_VALUE"""),"")</f>
        <v/>
      </c>
      <c r="F555" s="17" t="str">
        <f ca="1">IFERROR(__xludf.DUMMYFUNCTION("""COMPUTED_VALUE"""),"")</f>
        <v/>
      </c>
      <c r="G555" s="17" t="str">
        <f ca="1">IFERROR(__xludf.DUMMYFUNCTION("""COMPUTED_VALUE"""),"")</f>
        <v/>
      </c>
      <c r="H555" s="17" t="str">
        <v/>
      </c>
    </row>
    <row r="556" spans="5:8" ht="13.2">
      <c r="E556" s="17" t="str">
        <f ca="1">IFERROR(__xludf.DUMMYFUNCTION("""COMPUTED_VALUE"""),"")</f>
        <v/>
      </c>
      <c r="F556" s="17" t="str">
        <f ca="1">IFERROR(__xludf.DUMMYFUNCTION("""COMPUTED_VALUE"""),"")</f>
        <v/>
      </c>
      <c r="G556" s="17" t="str">
        <f ca="1">IFERROR(__xludf.DUMMYFUNCTION("""COMPUTED_VALUE"""),"")</f>
        <v/>
      </c>
      <c r="H556" s="17" t="str">
        <v/>
      </c>
    </row>
    <row r="557" spans="5:8" ht="13.2">
      <c r="E557" s="17" t="str">
        <f ca="1">IFERROR(__xludf.DUMMYFUNCTION("""COMPUTED_VALUE"""),"")</f>
        <v/>
      </c>
      <c r="F557" s="17" t="str">
        <f ca="1">IFERROR(__xludf.DUMMYFUNCTION("""COMPUTED_VALUE"""),"")</f>
        <v/>
      </c>
      <c r="G557" s="17" t="str">
        <f ca="1">IFERROR(__xludf.DUMMYFUNCTION("""COMPUTED_VALUE"""),"")</f>
        <v/>
      </c>
      <c r="H557" s="17" t="str">
        <v/>
      </c>
    </row>
    <row r="558" spans="5:8" ht="13.2">
      <c r="E558" s="17" t="str">
        <f ca="1">IFERROR(__xludf.DUMMYFUNCTION("""COMPUTED_VALUE"""),"")</f>
        <v/>
      </c>
      <c r="F558" s="17" t="str">
        <f ca="1">IFERROR(__xludf.DUMMYFUNCTION("""COMPUTED_VALUE"""),"")</f>
        <v/>
      </c>
      <c r="G558" s="17" t="str">
        <f ca="1">IFERROR(__xludf.DUMMYFUNCTION("""COMPUTED_VALUE"""),"")</f>
        <v/>
      </c>
      <c r="H558" s="17" t="str">
        <v/>
      </c>
    </row>
    <row r="559" spans="5:8" ht="13.2">
      <c r="E559" s="17" t="str">
        <f ca="1">IFERROR(__xludf.DUMMYFUNCTION("""COMPUTED_VALUE"""),"")</f>
        <v/>
      </c>
      <c r="F559" s="17" t="str">
        <f ca="1">IFERROR(__xludf.DUMMYFUNCTION("""COMPUTED_VALUE"""),"")</f>
        <v/>
      </c>
      <c r="G559" s="17" t="str">
        <f ca="1">IFERROR(__xludf.DUMMYFUNCTION("""COMPUTED_VALUE"""),"")</f>
        <v/>
      </c>
      <c r="H559" s="17" t="str">
        <v/>
      </c>
    </row>
    <row r="560" spans="5:8" ht="13.2">
      <c r="E560" s="17" t="str">
        <f ca="1">IFERROR(__xludf.DUMMYFUNCTION("""COMPUTED_VALUE"""),"")</f>
        <v/>
      </c>
      <c r="F560" s="17" t="str">
        <f ca="1">IFERROR(__xludf.DUMMYFUNCTION("""COMPUTED_VALUE"""),"")</f>
        <v/>
      </c>
      <c r="G560" s="17" t="str">
        <f ca="1">IFERROR(__xludf.DUMMYFUNCTION("""COMPUTED_VALUE"""),"")</f>
        <v/>
      </c>
      <c r="H560" s="17" t="str">
        <v/>
      </c>
    </row>
    <row r="561" spans="5:8" ht="13.2">
      <c r="E561" s="17" t="str">
        <f ca="1">IFERROR(__xludf.DUMMYFUNCTION("""COMPUTED_VALUE"""),"")</f>
        <v/>
      </c>
      <c r="F561" s="17" t="str">
        <f ca="1">IFERROR(__xludf.DUMMYFUNCTION("""COMPUTED_VALUE"""),"")</f>
        <v/>
      </c>
      <c r="G561" s="17" t="str">
        <f ca="1">IFERROR(__xludf.DUMMYFUNCTION("""COMPUTED_VALUE"""),"")</f>
        <v/>
      </c>
      <c r="H561" s="17" t="str">
        <v/>
      </c>
    </row>
    <row r="562" spans="5:8" ht="13.2">
      <c r="E562" s="17" t="str">
        <f ca="1">IFERROR(__xludf.DUMMYFUNCTION("""COMPUTED_VALUE"""),"")</f>
        <v/>
      </c>
      <c r="F562" s="17" t="str">
        <f ca="1">IFERROR(__xludf.DUMMYFUNCTION("""COMPUTED_VALUE"""),"")</f>
        <v/>
      </c>
      <c r="G562" s="17" t="str">
        <f ca="1">IFERROR(__xludf.DUMMYFUNCTION("""COMPUTED_VALUE"""),"")</f>
        <v/>
      </c>
      <c r="H562" s="17" t="str">
        <v/>
      </c>
    </row>
    <row r="563" spans="5:8" ht="13.2">
      <c r="E563" s="17" t="str">
        <f ca="1">IFERROR(__xludf.DUMMYFUNCTION("""COMPUTED_VALUE"""),"")</f>
        <v/>
      </c>
      <c r="F563" s="17" t="str">
        <f ca="1">IFERROR(__xludf.DUMMYFUNCTION("""COMPUTED_VALUE"""),"")</f>
        <v/>
      </c>
      <c r="G563" s="17" t="str">
        <f ca="1">IFERROR(__xludf.DUMMYFUNCTION("""COMPUTED_VALUE"""),"")</f>
        <v/>
      </c>
      <c r="H563" s="17" t="str">
        <v/>
      </c>
    </row>
    <row r="564" spans="5:8" ht="13.2">
      <c r="E564" s="17" t="str">
        <f ca="1">IFERROR(__xludf.DUMMYFUNCTION("""COMPUTED_VALUE"""),"")</f>
        <v/>
      </c>
      <c r="F564" s="17" t="str">
        <f ca="1">IFERROR(__xludf.DUMMYFUNCTION("""COMPUTED_VALUE"""),"")</f>
        <v/>
      </c>
      <c r="G564" s="17" t="str">
        <f ca="1">IFERROR(__xludf.DUMMYFUNCTION("""COMPUTED_VALUE"""),"")</f>
        <v/>
      </c>
      <c r="H564" s="17" t="str">
        <v/>
      </c>
    </row>
    <row r="565" spans="5:8" ht="13.2">
      <c r="E565" s="17" t="str">
        <f ca="1">IFERROR(__xludf.DUMMYFUNCTION("""COMPUTED_VALUE"""),"")</f>
        <v/>
      </c>
      <c r="F565" s="17" t="str">
        <f ca="1">IFERROR(__xludf.DUMMYFUNCTION("""COMPUTED_VALUE"""),"")</f>
        <v/>
      </c>
      <c r="G565" s="17" t="str">
        <f ca="1">IFERROR(__xludf.DUMMYFUNCTION("""COMPUTED_VALUE"""),"")</f>
        <v/>
      </c>
      <c r="H565" s="17" t="str">
        <v/>
      </c>
    </row>
    <row r="566" spans="5:8" ht="13.2">
      <c r="E566" s="17" t="str">
        <f ca="1">IFERROR(__xludf.DUMMYFUNCTION("""COMPUTED_VALUE"""),"")</f>
        <v/>
      </c>
      <c r="F566" s="17" t="str">
        <f ca="1">IFERROR(__xludf.DUMMYFUNCTION("""COMPUTED_VALUE"""),"")</f>
        <v/>
      </c>
      <c r="G566" s="17" t="str">
        <f ca="1">IFERROR(__xludf.DUMMYFUNCTION("""COMPUTED_VALUE"""),"")</f>
        <v/>
      </c>
      <c r="H566" s="17" t="str">
        <v/>
      </c>
    </row>
    <row r="567" spans="5:8" ht="13.2">
      <c r="E567" s="17" t="str">
        <f ca="1">IFERROR(__xludf.DUMMYFUNCTION("""COMPUTED_VALUE"""),"")</f>
        <v/>
      </c>
      <c r="F567" s="17" t="str">
        <f ca="1">IFERROR(__xludf.DUMMYFUNCTION("""COMPUTED_VALUE"""),"")</f>
        <v/>
      </c>
      <c r="G567" s="17" t="str">
        <f ca="1">IFERROR(__xludf.DUMMYFUNCTION("""COMPUTED_VALUE"""),"")</f>
        <v/>
      </c>
      <c r="H567" s="17" t="str">
        <v/>
      </c>
    </row>
    <row r="568" spans="5:8" ht="13.2">
      <c r="E568" s="17" t="str">
        <f ca="1">IFERROR(__xludf.DUMMYFUNCTION("""COMPUTED_VALUE"""),"")</f>
        <v/>
      </c>
      <c r="F568" s="17" t="str">
        <f ca="1">IFERROR(__xludf.DUMMYFUNCTION("""COMPUTED_VALUE"""),"")</f>
        <v/>
      </c>
      <c r="G568" s="17" t="str">
        <f ca="1">IFERROR(__xludf.DUMMYFUNCTION("""COMPUTED_VALUE"""),"")</f>
        <v/>
      </c>
      <c r="H568" s="17" t="str">
        <v/>
      </c>
    </row>
    <row r="569" spans="5:8" ht="13.2">
      <c r="E569" s="17" t="str">
        <f ca="1">IFERROR(__xludf.DUMMYFUNCTION("""COMPUTED_VALUE"""),"")</f>
        <v/>
      </c>
      <c r="F569" s="17" t="str">
        <f ca="1">IFERROR(__xludf.DUMMYFUNCTION("""COMPUTED_VALUE"""),"")</f>
        <v/>
      </c>
      <c r="G569" s="17" t="str">
        <f ca="1">IFERROR(__xludf.DUMMYFUNCTION("""COMPUTED_VALUE"""),"")</f>
        <v/>
      </c>
      <c r="H569" s="17" t="str">
        <v/>
      </c>
    </row>
    <row r="570" spans="5:8" ht="13.2">
      <c r="E570" s="17" t="str">
        <f ca="1">IFERROR(__xludf.DUMMYFUNCTION("""COMPUTED_VALUE"""),"")</f>
        <v/>
      </c>
      <c r="F570" s="17" t="str">
        <f ca="1">IFERROR(__xludf.DUMMYFUNCTION("""COMPUTED_VALUE"""),"")</f>
        <v/>
      </c>
      <c r="G570" s="17" t="str">
        <f ca="1">IFERROR(__xludf.DUMMYFUNCTION("""COMPUTED_VALUE"""),"")</f>
        <v/>
      </c>
      <c r="H570" s="17" t="str">
        <v/>
      </c>
    </row>
    <row r="571" spans="5:8" ht="13.2">
      <c r="E571" s="17" t="str">
        <f ca="1">IFERROR(__xludf.DUMMYFUNCTION("""COMPUTED_VALUE"""),"")</f>
        <v/>
      </c>
      <c r="F571" s="17" t="str">
        <f ca="1">IFERROR(__xludf.DUMMYFUNCTION("""COMPUTED_VALUE"""),"")</f>
        <v/>
      </c>
      <c r="G571" s="17" t="str">
        <f ca="1">IFERROR(__xludf.DUMMYFUNCTION("""COMPUTED_VALUE"""),"")</f>
        <v/>
      </c>
      <c r="H571" s="17" t="str">
        <v/>
      </c>
    </row>
    <row r="572" spans="5:8" ht="13.2">
      <c r="E572" s="17" t="str">
        <f ca="1">IFERROR(__xludf.DUMMYFUNCTION("""COMPUTED_VALUE"""),"")</f>
        <v/>
      </c>
      <c r="F572" s="17" t="str">
        <f ca="1">IFERROR(__xludf.DUMMYFUNCTION("""COMPUTED_VALUE"""),"")</f>
        <v/>
      </c>
      <c r="G572" s="17" t="str">
        <f ca="1">IFERROR(__xludf.DUMMYFUNCTION("""COMPUTED_VALUE"""),"")</f>
        <v/>
      </c>
      <c r="H572" s="17" t="str">
        <v/>
      </c>
    </row>
    <row r="573" spans="5:8" ht="13.2">
      <c r="E573" s="17" t="str">
        <f ca="1">IFERROR(__xludf.DUMMYFUNCTION("""COMPUTED_VALUE"""),"")</f>
        <v/>
      </c>
      <c r="F573" s="17" t="str">
        <f ca="1">IFERROR(__xludf.DUMMYFUNCTION("""COMPUTED_VALUE"""),"")</f>
        <v/>
      </c>
      <c r="G573" s="17" t="str">
        <f ca="1">IFERROR(__xludf.DUMMYFUNCTION("""COMPUTED_VALUE"""),"")</f>
        <v/>
      </c>
      <c r="H573" s="17" t="str">
        <v/>
      </c>
    </row>
    <row r="574" spans="5:8" ht="13.2">
      <c r="E574" s="17" t="str">
        <f ca="1">IFERROR(__xludf.DUMMYFUNCTION("""COMPUTED_VALUE"""),"")</f>
        <v/>
      </c>
      <c r="F574" s="17" t="str">
        <f ca="1">IFERROR(__xludf.DUMMYFUNCTION("""COMPUTED_VALUE"""),"")</f>
        <v/>
      </c>
      <c r="G574" s="17" t="str">
        <f ca="1">IFERROR(__xludf.DUMMYFUNCTION("""COMPUTED_VALUE"""),"")</f>
        <v/>
      </c>
      <c r="H574" s="17" t="str">
        <v/>
      </c>
    </row>
    <row r="575" spans="5:8" ht="13.2">
      <c r="E575" s="17" t="str">
        <f ca="1">IFERROR(__xludf.DUMMYFUNCTION("""COMPUTED_VALUE"""),"")</f>
        <v/>
      </c>
      <c r="F575" s="17" t="str">
        <f ca="1">IFERROR(__xludf.DUMMYFUNCTION("""COMPUTED_VALUE"""),"")</f>
        <v/>
      </c>
      <c r="G575" s="17" t="str">
        <f ca="1">IFERROR(__xludf.DUMMYFUNCTION("""COMPUTED_VALUE"""),"")</f>
        <v/>
      </c>
      <c r="H575" s="17" t="str">
        <v/>
      </c>
    </row>
    <row r="576" spans="5:8" ht="13.2">
      <c r="E576" s="17" t="str">
        <f ca="1">IFERROR(__xludf.DUMMYFUNCTION("""COMPUTED_VALUE"""),"")</f>
        <v/>
      </c>
      <c r="F576" s="17" t="str">
        <f ca="1">IFERROR(__xludf.DUMMYFUNCTION("""COMPUTED_VALUE"""),"")</f>
        <v/>
      </c>
      <c r="G576" s="17" t="str">
        <f ca="1">IFERROR(__xludf.DUMMYFUNCTION("""COMPUTED_VALUE"""),"")</f>
        <v/>
      </c>
      <c r="H576" s="17" t="str">
        <v/>
      </c>
    </row>
    <row r="577" spans="5:8" ht="13.2">
      <c r="E577" s="17" t="str">
        <f ca="1">IFERROR(__xludf.DUMMYFUNCTION("""COMPUTED_VALUE"""),"")</f>
        <v/>
      </c>
      <c r="F577" s="17" t="str">
        <f ca="1">IFERROR(__xludf.DUMMYFUNCTION("""COMPUTED_VALUE"""),"")</f>
        <v/>
      </c>
      <c r="G577" s="17" t="str">
        <f ca="1">IFERROR(__xludf.DUMMYFUNCTION("""COMPUTED_VALUE"""),"")</f>
        <v/>
      </c>
      <c r="H577" s="17" t="str">
        <v/>
      </c>
    </row>
    <row r="578" spans="5:8" ht="13.2">
      <c r="E578" s="17" t="str">
        <f ca="1">IFERROR(__xludf.DUMMYFUNCTION("""COMPUTED_VALUE"""),"")</f>
        <v/>
      </c>
      <c r="F578" s="17" t="str">
        <f ca="1">IFERROR(__xludf.DUMMYFUNCTION("""COMPUTED_VALUE"""),"")</f>
        <v/>
      </c>
      <c r="G578" s="17" t="str">
        <f ca="1">IFERROR(__xludf.DUMMYFUNCTION("""COMPUTED_VALUE"""),"")</f>
        <v/>
      </c>
      <c r="H578" s="17" t="str">
        <v/>
      </c>
    </row>
    <row r="579" spans="5:8" ht="13.2">
      <c r="E579" s="17" t="str">
        <f ca="1">IFERROR(__xludf.DUMMYFUNCTION("""COMPUTED_VALUE"""),"")</f>
        <v/>
      </c>
      <c r="F579" s="17" t="str">
        <f ca="1">IFERROR(__xludf.DUMMYFUNCTION("""COMPUTED_VALUE"""),"")</f>
        <v/>
      </c>
      <c r="G579" s="17" t="str">
        <f ca="1">IFERROR(__xludf.DUMMYFUNCTION("""COMPUTED_VALUE"""),"")</f>
        <v/>
      </c>
      <c r="H579" s="17" t="str">
        <v/>
      </c>
    </row>
    <row r="580" spans="5:8" ht="13.2">
      <c r="E580" s="17" t="str">
        <f ca="1">IFERROR(__xludf.DUMMYFUNCTION("""COMPUTED_VALUE"""),"")</f>
        <v/>
      </c>
      <c r="F580" s="17" t="str">
        <f ca="1">IFERROR(__xludf.DUMMYFUNCTION("""COMPUTED_VALUE"""),"")</f>
        <v/>
      </c>
      <c r="G580" s="17" t="str">
        <f ca="1">IFERROR(__xludf.DUMMYFUNCTION("""COMPUTED_VALUE"""),"")</f>
        <v/>
      </c>
      <c r="H580" s="17" t="str">
        <v/>
      </c>
    </row>
    <row r="581" spans="5:8" ht="13.2">
      <c r="E581" s="17" t="str">
        <f ca="1">IFERROR(__xludf.DUMMYFUNCTION("""COMPUTED_VALUE"""),"")</f>
        <v/>
      </c>
      <c r="F581" s="17" t="str">
        <f ca="1">IFERROR(__xludf.DUMMYFUNCTION("""COMPUTED_VALUE"""),"")</f>
        <v/>
      </c>
      <c r="G581" s="17" t="str">
        <f ca="1">IFERROR(__xludf.DUMMYFUNCTION("""COMPUTED_VALUE"""),"")</f>
        <v/>
      </c>
      <c r="H581" s="17" t="str">
        <v/>
      </c>
    </row>
    <row r="582" spans="5:8" ht="13.2">
      <c r="E582" s="17" t="str">
        <f ca="1">IFERROR(__xludf.DUMMYFUNCTION("""COMPUTED_VALUE"""),"")</f>
        <v/>
      </c>
      <c r="F582" s="17" t="str">
        <f ca="1">IFERROR(__xludf.DUMMYFUNCTION("""COMPUTED_VALUE"""),"")</f>
        <v/>
      </c>
      <c r="G582" s="17" t="str">
        <f ca="1">IFERROR(__xludf.DUMMYFUNCTION("""COMPUTED_VALUE"""),"")</f>
        <v/>
      </c>
      <c r="H582" s="17" t="str">
        <v/>
      </c>
    </row>
    <row r="583" spans="5:8" ht="13.2">
      <c r="E583" s="17" t="str">
        <f ca="1">IFERROR(__xludf.DUMMYFUNCTION("""COMPUTED_VALUE"""),"")</f>
        <v/>
      </c>
      <c r="F583" s="17" t="str">
        <f ca="1">IFERROR(__xludf.DUMMYFUNCTION("""COMPUTED_VALUE"""),"")</f>
        <v/>
      </c>
      <c r="G583" s="17" t="str">
        <f ca="1">IFERROR(__xludf.DUMMYFUNCTION("""COMPUTED_VALUE"""),"")</f>
        <v/>
      </c>
      <c r="H583" s="17" t="str">
        <v/>
      </c>
    </row>
    <row r="584" spans="5:8" ht="13.2">
      <c r="E584" s="17" t="str">
        <f ca="1">IFERROR(__xludf.DUMMYFUNCTION("""COMPUTED_VALUE"""),"")</f>
        <v/>
      </c>
      <c r="F584" s="17" t="str">
        <f ca="1">IFERROR(__xludf.DUMMYFUNCTION("""COMPUTED_VALUE"""),"")</f>
        <v/>
      </c>
      <c r="G584" s="17" t="str">
        <f ca="1">IFERROR(__xludf.DUMMYFUNCTION("""COMPUTED_VALUE"""),"")</f>
        <v/>
      </c>
      <c r="H584" s="17" t="str">
        <v/>
      </c>
    </row>
    <row r="585" spans="5:8" ht="13.2">
      <c r="E585" s="17" t="str">
        <f ca="1">IFERROR(__xludf.DUMMYFUNCTION("""COMPUTED_VALUE"""),"")</f>
        <v/>
      </c>
      <c r="F585" s="17" t="str">
        <f ca="1">IFERROR(__xludf.DUMMYFUNCTION("""COMPUTED_VALUE"""),"")</f>
        <v/>
      </c>
      <c r="G585" s="17" t="str">
        <f ca="1">IFERROR(__xludf.DUMMYFUNCTION("""COMPUTED_VALUE"""),"")</f>
        <v/>
      </c>
      <c r="H585" s="17" t="str">
        <v/>
      </c>
    </row>
    <row r="586" spans="5:8" ht="13.2">
      <c r="E586" s="17" t="str">
        <f ca="1">IFERROR(__xludf.DUMMYFUNCTION("""COMPUTED_VALUE"""),"")</f>
        <v/>
      </c>
      <c r="F586" s="17" t="str">
        <f ca="1">IFERROR(__xludf.DUMMYFUNCTION("""COMPUTED_VALUE"""),"")</f>
        <v/>
      </c>
      <c r="G586" s="17" t="str">
        <f ca="1">IFERROR(__xludf.DUMMYFUNCTION("""COMPUTED_VALUE"""),"")</f>
        <v/>
      </c>
      <c r="H586" s="17" t="str">
        <v/>
      </c>
    </row>
    <row r="587" spans="5:8" ht="13.2">
      <c r="E587" s="17" t="str">
        <f ca="1">IFERROR(__xludf.DUMMYFUNCTION("""COMPUTED_VALUE"""),"")</f>
        <v/>
      </c>
      <c r="F587" s="17" t="str">
        <f ca="1">IFERROR(__xludf.DUMMYFUNCTION("""COMPUTED_VALUE"""),"")</f>
        <v/>
      </c>
      <c r="G587" s="17" t="str">
        <f ca="1">IFERROR(__xludf.DUMMYFUNCTION("""COMPUTED_VALUE"""),"")</f>
        <v/>
      </c>
      <c r="H587" s="17" t="str">
        <v/>
      </c>
    </row>
    <row r="588" spans="5:8" ht="13.2">
      <c r="E588" s="17" t="str">
        <f ca="1">IFERROR(__xludf.DUMMYFUNCTION("""COMPUTED_VALUE"""),"")</f>
        <v/>
      </c>
      <c r="F588" s="17" t="str">
        <f ca="1">IFERROR(__xludf.DUMMYFUNCTION("""COMPUTED_VALUE"""),"")</f>
        <v/>
      </c>
      <c r="G588" s="17" t="str">
        <f ca="1">IFERROR(__xludf.DUMMYFUNCTION("""COMPUTED_VALUE"""),"")</f>
        <v/>
      </c>
      <c r="H588" s="17" t="str">
        <v/>
      </c>
    </row>
    <row r="589" spans="5:8" ht="13.2">
      <c r="E589" s="17" t="str">
        <f ca="1">IFERROR(__xludf.DUMMYFUNCTION("""COMPUTED_VALUE"""),"")</f>
        <v/>
      </c>
      <c r="F589" s="17" t="str">
        <f ca="1">IFERROR(__xludf.DUMMYFUNCTION("""COMPUTED_VALUE"""),"")</f>
        <v/>
      </c>
      <c r="G589" s="17" t="str">
        <f ca="1">IFERROR(__xludf.DUMMYFUNCTION("""COMPUTED_VALUE"""),"")</f>
        <v/>
      </c>
      <c r="H589" s="17" t="str">
        <v/>
      </c>
    </row>
    <row r="590" spans="5:8" ht="13.2">
      <c r="E590" s="17" t="str">
        <f ca="1">IFERROR(__xludf.DUMMYFUNCTION("""COMPUTED_VALUE"""),"")</f>
        <v/>
      </c>
      <c r="F590" s="17" t="str">
        <f ca="1">IFERROR(__xludf.DUMMYFUNCTION("""COMPUTED_VALUE"""),"")</f>
        <v/>
      </c>
      <c r="G590" s="17" t="str">
        <f ca="1">IFERROR(__xludf.DUMMYFUNCTION("""COMPUTED_VALUE"""),"")</f>
        <v/>
      </c>
      <c r="H590" s="17" t="str">
        <v/>
      </c>
    </row>
    <row r="591" spans="5:8" ht="13.2">
      <c r="E591" s="17" t="str">
        <f ca="1">IFERROR(__xludf.DUMMYFUNCTION("""COMPUTED_VALUE"""),"")</f>
        <v/>
      </c>
      <c r="F591" s="17" t="str">
        <f ca="1">IFERROR(__xludf.DUMMYFUNCTION("""COMPUTED_VALUE"""),"")</f>
        <v/>
      </c>
      <c r="G591" s="17" t="str">
        <f ca="1">IFERROR(__xludf.DUMMYFUNCTION("""COMPUTED_VALUE"""),"")</f>
        <v/>
      </c>
      <c r="H591" s="17" t="str">
        <v/>
      </c>
    </row>
    <row r="592" spans="5:8" ht="13.2">
      <c r="E592" s="17" t="str">
        <f ca="1">IFERROR(__xludf.DUMMYFUNCTION("""COMPUTED_VALUE"""),"")</f>
        <v/>
      </c>
      <c r="F592" s="17" t="str">
        <f ca="1">IFERROR(__xludf.DUMMYFUNCTION("""COMPUTED_VALUE"""),"")</f>
        <v/>
      </c>
      <c r="G592" s="17" t="str">
        <f ca="1">IFERROR(__xludf.DUMMYFUNCTION("""COMPUTED_VALUE"""),"")</f>
        <v/>
      </c>
      <c r="H592" s="17" t="str">
        <v/>
      </c>
    </row>
    <row r="593" spans="5:8" ht="13.2">
      <c r="E593" s="17" t="str">
        <f ca="1">IFERROR(__xludf.DUMMYFUNCTION("""COMPUTED_VALUE"""),"")</f>
        <v/>
      </c>
      <c r="F593" s="17" t="str">
        <f ca="1">IFERROR(__xludf.DUMMYFUNCTION("""COMPUTED_VALUE"""),"")</f>
        <v/>
      </c>
      <c r="G593" s="17" t="str">
        <f ca="1">IFERROR(__xludf.DUMMYFUNCTION("""COMPUTED_VALUE"""),"")</f>
        <v/>
      </c>
      <c r="H593" s="17" t="str">
        <v/>
      </c>
    </row>
    <row r="594" spans="5:8" ht="13.2">
      <c r="E594" s="17" t="str">
        <f ca="1">IFERROR(__xludf.DUMMYFUNCTION("""COMPUTED_VALUE"""),"")</f>
        <v/>
      </c>
      <c r="F594" s="17" t="str">
        <f ca="1">IFERROR(__xludf.DUMMYFUNCTION("""COMPUTED_VALUE"""),"")</f>
        <v/>
      </c>
      <c r="G594" s="17" t="str">
        <f ca="1">IFERROR(__xludf.DUMMYFUNCTION("""COMPUTED_VALUE"""),"")</f>
        <v/>
      </c>
      <c r="H594" s="17" t="str">
        <v/>
      </c>
    </row>
    <row r="595" spans="5:8" ht="13.2">
      <c r="E595" s="17" t="str">
        <f ca="1">IFERROR(__xludf.DUMMYFUNCTION("""COMPUTED_VALUE"""),"")</f>
        <v/>
      </c>
      <c r="F595" s="17" t="str">
        <f ca="1">IFERROR(__xludf.DUMMYFUNCTION("""COMPUTED_VALUE"""),"")</f>
        <v/>
      </c>
      <c r="G595" s="17" t="str">
        <f ca="1">IFERROR(__xludf.DUMMYFUNCTION("""COMPUTED_VALUE"""),"")</f>
        <v/>
      </c>
      <c r="H595" s="17" t="str">
        <v/>
      </c>
    </row>
    <row r="596" spans="5:8" ht="13.2">
      <c r="E596" s="17" t="str">
        <f ca="1">IFERROR(__xludf.DUMMYFUNCTION("""COMPUTED_VALUE"""),"")</f>
        <v/>
      </c>
      <c r="F596" s="17" t="str">
        <f ca="1">IFERROR(__xludf.DUMMYFUNCTION("""COMPUTED_VALUE"""),"")</f>
        <v/>
      </c>
      <c r="G596" s="17" t="str">
        <f ca="1">IFERROR(__xludf.DUMMYFUNCTION("""COMPUTED_VALUE"""),"")</f>
        <v/>
      </c>
      <c r="H596" s="17" t="str">
        <v/>
      </c>
    </row>
    <row r="597" spans="5:8" ht="13.2">
      <c r="E597" s="17" t="str">
        <f ca="1">IFERROR(__xludf.DUMMYFUNCTION("""COMPUTED_VALUE"""),"")</f>
        <v/>
      </c>
      <c r="F597" s="17" t="str">
        <f ca="1">IFERROR(__xludf.DUMMYFUNCTION("""COMPUTED_VALUE"""),"")</f>
        <v/>
      </c>
      <c r="G597" s="17" t="str">
        <f ca="1">IFERROR(__xludf.DUMMYFUNCTION("""COMPUTED_VALUE"""),"")</f>
        <v/>
      </c>
      <c r="H597" s="17" t="str">
        <v/>
      </c>
    </row>
    <row r="598" spans="5:8" ht="13.2">
      <c r="E598" s="17" t="str">
        <f ca="1">IFERROR(__xludf.DUMMYFUNCTION("""COMPUTED_VALUE"""),"")</f>
        <v/>
      </c>
      <c r="F598" s="17" t="str">
        <f ca="1">IFERROR(__xludf.DUMMYFUNCTION("""COMPUTED_VALUE"""),"")</f>
        <v/>
      </c>
      <c r="G598" s="17" t="str">
        <f ca="1">IFERROR(__xludf.DUMMYFUNCTION("""COMPUTED_VALUE"""),"")</f>
        <v/>
      </c>
      <c r="H598" s="17" t="str">
        <v/>
      </c>
    </row>
    <row r="599" spans="5:8" ht="13.2">
      <c r="E599" s="17" t="str">
        <f ca="1">IFERROR(__xludf.DUMMYFUNCTION("""COMPUTED_VALUE"""),"")</f>
        <v/>
      </c>
      <c r="F599" s="17" t="str">
        <f ca="1">IFERROR(__xludf.DUMMYFUNCTION("""COMPUTED_VALUE"""),"")</f>
        <v/>
      </c>
      <c r="G599" s="17" t="str">
        <f ca="1">IFERROR(__xludf.DUMMYFUNCTION("""COMPUTED_VALUE"""),"")</f>
        <v/>
      </c>
      <c r="H599" s="17" t="str">
        <v/>
      </c>
    </row>
    <row r="600" spans="5:8" ht="13.2">
      <c r="E600" s="17" t="str">
        <f ca="1">IFERROR(__xludf.DUMMYFUNCTION("""COMPUTED_VALUE"""),"")</f>
        <v/>
      </c>
      <c r="F600" s="17" t="str">
        <f ca="1">IFERROR(__xludf.DUMMYFUNCTION("""COMPUTED_VALUE"""),"")</f>
        <v/>
      </c>
      <c r="G600" s="17" t="str">
        <f ca="1">IFERROR(__xludf.DUMMYFUNCTION("""COMPUTED_VALUE"""),"")</f>
        <v/>
      </c>
      <c r="H600" s="17" t="str">
        <v/>
      </c>
    </row>
    <row r="601" spans="5:8" ht="13.2">
      <c r="E601" s="17" t="str">
        <f ca="1">IFERROR(__xludf.DUMMYFUNCTION("""COMPUTED_VALUE"""),"")</f>
        <v/>
      </c>
      <c r="F601" s="17" t="str">
        <f ca="1">IFERROR(__xludf.DUMMYFUNCTION("""COMPUTED_VALUE"""),"")</f>
        <v/>
      </c>
      <c r="G601" s="17" t="str">
        <f ca="1">IFERROR(__xludf.DUMMYFUNCTION("""COMPUTED_VALUE"""),"")</f>
        <v/>
      </c>
      <c r="H601" s="17" t="str">
        <v/>
      </c>
    </row>
    <row r="602" spans="5:8" ht="13.2">
      <c r="E602" s="17" t="str">
        <f ca="1">IFERROR(__xludf.DUMMYFUNCTION("""COMPUTED_VALUE"""),"")</f>
        <v/>
      </c>
      <c r="F602" s="17" t="str">
        <f ca="1">IFERROR(__xludf.DUMMYFUNCTION("""COMPUTED_VALUE"""),"")</f>
        <v/>
      </c>
      <c r="G602" s="17" t="str">
        <f ca="1">IFERROR(__xludf.DUMMYFUNCTION("""COMPUTED_VALUE"""),"")</f>
        <v/>
      </c>
      <c r="H602" s="17" t="str">
        <v/>
      </c>
    </row>
    <row r="603" spans="5:8" ht="13.2">
      <c r="E603" s="17" t="str">
        <f ca="1">IFERROR(__xludf.DUMMYFUNCTION("""COMPUTED_VALUE"""),"")</f>
        <v/>
      </c>
      <c r="F603" s="17" t="str">
        <f ca="1">IFERROR(__xludf.DUMMYFUNCTION("""COMPUTED_VALUE"""),"")</f>
        <v/>
      </c>
      <c r="G603" s="17" t="str">
        <f ca="1">IFERROR(__xludf.DUMMYFUNCTION("""COMPUTED_VALUE"""),"")</f>
        <v/>
      </c>
      <c r="H603" s="17" t="str">
        <v/>
      </c>
    </row>
    <row r="604" spans="5:8" ht="13.2">
      <c r="E604" s="17" t="str">
        <f ca="1">IFERROR(__xludf.DUMMYFUNCTION("""COMPUTED_VALUE"""),"")</f>
        <v/>
      </c>
      <c r="F604" s="17" t="str">
        <f ca="1">IFERROR(__xludf.DUMMYFUNCTION("""COMPUTED_VALUE"""),"")</f>
        <v/>
      </c>
      <c r="G604" s="17" t="str">
        <f ca="1">IFERROR(__xludf.DUMMYFUNCTION("""COMPUTED_VALUE"""),"")</f>
        <v/>
      </c>
      <c r="H604" s="17" t="str">
        <v/>
      </c>
    </row>
    <row r="605" spans="5:8" ht="13.2">
      <c r="E605" s="17" t="str">
        <f ca="1">IFERROR(__xludf.DUMMYFUNCTION("""COMPUTED_VALUE"""),"")</f>
        <v/>
      </c>
      <c r="F605" s="17" t="str">
        <f ca="1">IFERROR(__xludf.DUMMYFUNCTION("""COMPUTED_VALUE"""),"")</f>
        <v/>
      </c>
      <c r="G605" s="17" t="str">
        <f ca="1">IFERROR(__xludf.DUMMYFUNCTION("""COMPUTED_VALUE"""),"")</f>
        <v/>
      </c>
      <c r="H605" s="17" t="str">
        <v/>
      </c>
    </row>
    <row r="606" spans="5:8" ht="13.2">
      <c r="E606" s="17" t="str">
        <f ca="1">IFERROR(__xludf.DUMMYFUNCTION("""COMPUTED_VALUE"""),"")</f>
        <v/>
      </c>
      <c r="F606" s="17" t="str">
        <f ca="1">IFERROR(__xludf.DUMMYFUNCTION("""COMPUTED_VALUE"""),"")</f>
        <v/>
      </c>
      <c r="G606" s="17" t="str">
        <f ca="1">IFERROR(__xludf.DUMMYFUNCTION("""COMPUTED_VALUE"""),"")</f>
        <v/>
      </c>
      <c r="H606" s="17" t="str">
        <v/>
      </c>
    </row>
    <row r="607" spans="5:8" ht="13.2">
      <c r="E607" s="17" t="str">
        <f ca="1">IFERROR(__xludf.DUMMYFUNCTION("""COMPUTED_VALUE"""),"")</f>
        <v/>
      </c>
      <c r="F607" s="17" t="str">
        <f ca="1">IFERROR(__xludf.DUMMYFUNCTION("""COMPUTED_VALUE"""),"")</f>
        <v/>
      </c>
      <c r="G607" s="17" t="str">
        <f ca="1">IFERROR(__xludf.DUMMYFUNCTION("""COMPUTED_VALUE"""),"")</f>
        <v/>
      </c>
      <c r="H607" s="17" t="str">
        <v/>
      </c>
    </row>
    <row r="608" spans="5:8" ht="13.2">
      <c r="E608" s="17" t="str">
        <f ca="1">IFERROR(__xludf.DUMMYFUNCTION("""COMPUTED_VALUE"""),"")</f>
        <v/>
      </c>
      <c r="F608" s="17" t="str">
        <f ca="1">IFERROR(__xludf.DUMMYFUNCTION("""COMPUTED_VALUE"""),"")</f>
        <v/>
      </c>
      <c r="G608" s="17" t="str">
        <f ca="1">IFERROR(__xludf.DUMMYFUNCTION("""COMPUTED_VALUE"""),"")</f>
        <v/>
      </c>
      <c r="H608" s="17" t="str">
        <v/>
      </c>
    </row>
    <row r="609" spans="5:8" ht="13.2">
      <c r="E609" s="17" t="str">
        <f ca="1">IFERROR(__xludf.DUMMYFUNCTION("""COMPUTED_VALUE"""),"")</f>
        <v/>
      </c>
      <c r="F609" s="17" t="str">
        <f ca="1">IFERROR(__xludf.DUMMYFUNCTION("""COMPUTED_VALUE"""),"")</f>
        <v/>
      </c>
      <c r="G609" s="17" t="str">
        <f ca="1">IFERROR(__xludf.DUMMYFUNCTION("""COMPUTED_VALUE"""),"")</f>
        <v/>
      </c>
      <c r="H609" s="17" t="str">
        <v/>
      </c>
    </row>
    <row r="610" spans="5:8" ht="13.2">
      <c r="E610" s="17" t="str">
        <f ca="1">IFERROR(__xludf.DUMMYFUNCTION("""COMPUTED_VALUE"""),"")</f>
        <v/>
      </c>
      <c r="F610" s="17" t="str">
        <f ca="1">IFERROR(__xludf.DUMMYFUNCTION("""COMPUTED_VALUE"""),"")</f>
        <v/>
      </c>
      <c r="G610" s="17" t="str">
        <f ca="1">IFERROR(__xludf.DUMMYFUNCTION("""COMPUTED_VALUE"""),"")</f>
        <v/>
      </c>
      <c r="H610" s="17" t="str">
        <v/>
      </c>
    </row>
    <row r="611" spans="5:8" ht="13.2">
      <c r="E611" s="17" t="str">
        <f ca="1">IFERROR(__xludf.DUMMYFUNCTION("""COMPUTED_VALUE"""),"")</f>
        <v/>
      </c>
      <c r="F611" s="17" t="str">
        <f ca="1">IFERROR(__xludf.DUMMYFUNCTION("""COMPUTED_VALUE"""),"")</f>
        <v/>
      </c>
      <c r="G611" s="17" t="str">
        <f ca="1">IFERROR(__xludf.DUMMYFUNCTION("""COMPUTED_VALUE"""),"")</f>
        <v/>
      </c>
      <c r="H611" s="17" t="str">
        <v/>
      </c>
    </row>
    <row r="612" spans="5:8" ht="13.2">
      <c r="E612" s="17" t="str">
        <f ca="1">IFERROR(__xludf.DUMMYFUNCTION("""COMPUTED_VALUE"""),"")</f>
        <v/>
      </c>
      <c r="F612" s="17" t="str">
        <f ca="1">IFERROR(__xludf.DUMMYFUNCTION("""COMPUTED_VALUE"""),"")</f>
        <v/>
      </c>
      <c r="G612" s="17" t="str">
        <f ca="1">IFERROR(__xludf.DUMMYFUNCTION("""COMPUTED_VALUE"""),"")</f>
        <v/>
      </c>
      <c r="H612" s="17" t="str">
        <v/>
      </c>
    </row>
    <row r="613" spans="5:8" ht="13.2">
      <c r="E613" s="17" t="str">
        <f ca="1">IFERROR(__xludf.DUMMYFUNCTION("""COMPUTED_VALUE"""),"")</f>
        <v/>
      </c>
      <c r="F613" s="17" t="str">
        <f ca="1">IFERROR(__xludf.DUMMYFUNCTION("""COMPUTED_VALUE"""),"")</f>
        <v/>
      </c>
      <c r="G613" s="17" t="str">
        <f ca="1">IFERROR(__xludf.DUMMYFUNCTION("""COMPUTED_VALUE"""),"")</f>
        <v/>
      </c>
      <c r="H613" s="17" t="str">
        <v/>
      </c>
    </row>
    <row r="614" spans="5:8" ht="13.2">
      <c r="E614" s="17" t="str">
        <f ca="1">IFERROR(__xludf.DUMMYFUNCTION("""COMPUTED_VALUE"""),"")</f>
        <v/>
      </c>
      <c r="F614" s="17" t="str">
        <f ca="1">IFERROR(__xludf.DUMMYFUNCTION("""COMPUTED_VALUE"""),"")</f>
        <v/>
      </c>
      <c r="G614" s="17" t="str">
        <f ca="1">IFERROR(__xludf.DUMMYFUNCTION("""COMPUTED_VALUE"""),"")</f>
        <v/>
      </c>
      <c r="H614" s="17" t="str">
        <v/>
      </c>
    </row>
    <row r="615" spans="5:8" ht="13.2">
      <c r="E615" s="17" t="str">
        <f ca="1">IFERROR(__xludf.DUMMYFUNCTION("""COMPUTED_VALUE"""),"")</f>
        <v/>
      </c>
      <c r="F615" s="17" t="str">
        <f ca="1">IFERROR(__xludf.DUMMYFUNCTION("""COMPUTED_VALUE"""),"")</f>
        <v/>
      </c>
      <c r="G615" s="17" t="str">
        <f ca="1">IFERROR(__xludf.DUMMYFUNCTION("""COMPUTED_VALUE"""),"")</f>
        <v/>
      </c>
      <c r="H615" s="17" t="str">
        <v/>
      </c>
    </row>
    <row r="616" spans="5:8" ht="13.2">
      <c r="E616" s="17" t="str">
        <f ca="1">IFERROR(__xludf.DUMMYFUNCTION("""COMPUTED_VALUE"""),"")</f>
        <v/>
      </c>
      <c r="F616" s="17" t="str">
        <f ca="1">IFERROR(__xludf.DUMMYFUNCTION("""COMPUTED_VALUE"""),"")</f>
        <v/>
      </c>
      <c r="G616" s="17" t="str">
        <f ca="1">IFERROR(__xludf.DUMMYFUNCTION("""COMPUTED_VALUE"""),"")</f>
        <v/>
      </c>
      <c r="H616" s="17" t="str">
        <v/>
      </c>
    </row>
    <row r="617" spans="5:8" ht="13.2">
      <c r="E617" s="17" t="str">
        <f ca="1">IFERROR(__xludf.DUMMYFUNCTION("""COMPUTED_VALUE"""),"")</f>
        <v/>
      </c>
      <c r="F617" s="17" t="str">
        <f ca="1">IFERROR(__xludf.DUMMYFUNCTION("""COMPUTED_VALUE"""),"")</f>
        <v/>
      </c>
      <c r="G617" s="17" t="str">
        <f ca="1">IFERROR(__xludf.DUMMYFUNCTION("""COMPUTED_VALUE"""),"")</f>
        <v/>
      </c>
      <c r="H617" s="17" t="str">
        <v/>
      </c>
    </row>
    <row r="618" spans="5:8" ht="13.2">
      <c r="E618" s="17" t="str">
        <f ca="1">IFERROR(__xludf.DUMMYFUNCTION("""COMPUTED_VALUE"""),"")</f>
        <v/>
      </c>
      <c r="F618" s="17" t="str">
        <f ca="1">IFERROR(__xludf.DUMMYFUNCTION("""COMPUTED_VALUE"""),"")</f>
        <v/>
      </c>
      <c r="G618" s="17" t="str">
        <f ca="1">IFERROR(__xludf.DUMMYFUNCTION("""COMPUTED_VALUE"""),"")</f>
        <v/>
      </c>
      <c r="H618" s="17" t="str">
        <v/>
      </c>
    </row>
    <row r="619" spans="5:8" ht="13.2">
      <c r="E619" s="17" t="str">
        <f ca="1">IFERROR(__xludf.DUMMYFUNCTION("""COMPUTED_VALUE"""),"")</f>
        <v/>
      </c>
      <c r="F619" s="17" t="str">
        <f ca="1">IFERROR(__xludf.DUMMYFUNCTION("""COMPUTED_VALUE"""),"")</f>
        <v/>
      </c>
      <c r="G619" s="17" t="str">
        <f ca="1">IFERROR(__xludf.DUMMYFUNCTION("""COMPUTED_VALUE"""),"")</f>
        <v/>
      </c>
      <c r="H619" s="17" t="str">
        <v/>
      </c>
    </row>
    <row r="620" spans="5:8" ht="13.2">
      <c r="E620" s="17" t="str">
        <f ca="1">IFERROR(__xludf.DUMMYFUNCTION("""COMPUTED_VALUE"""),"")</f>
        <v/>
      </c>
      <c r="F620" s="17" t="str">
        <f ca="1">IFERROR(__xludf.DUMMYFUNCTION("""COMPUTED_VALUE"""),"")</f>
        <v/>
      </c>
      <c r="G620" s="17" t="str">
        <f ca="1">IFERROR(__xludf.DUMMYFUNCTION("""COMPUTED_VALUE"""),"")</f>
        <v/>
      </c>
      <c r="H620" s="17" t="str">
        <v/>
      </c>
    </row>
    <row r="621" spans="5:8" ht="13.2">
      <c r="E621" s="17" t="str">
        <f ca="1">IFERROR(__xludf.DUMMYFUNCTION("""COMPUTED_VALUE"""),"")</f>
        <v/>
      </c>
      <c r="F621" s="17" t="str">
        <f ca="1">IFERROR(__xludf.DUMMYFUNCTION("""COMPUTED_VALUE"""),"")</f>
        <v/>
      </c>
      <c r="G621" s="17" t="str">
        <f ca="1">IFERROR(__xludf.DUMMYFUNCTION("""COMPUTED_VALUE"""),"")</f>
        <v/>
      </c>
      <c r="H621" s="17" t="str">
        <v/>
      </c>
    </row>
    <row r="622" spans="5:8" ht="13.2">
      <c r="E622" s="17" t="str">
        <f ca="1">IFERROR(__xludf.DUMMYFUNCTION("""COMPUTED_VALUE"""),"")</f>
        <v/>
      </c>
      <c r="F622" s="17" t="str">
        <f ca="1">IFERROR(__xludf.DUMMYFUNCTION("""COMPUTED_VALUE"""),"")</f>
        <v/>
      </c>
      <c r="G622" s="17" t="str">
        <f ca="1">IFERROR(__xludf.DUMMYFUNCTION("""COMPUTED_VALUE"""),"")</f>
        <v/>
      </c>
      <c r="H622" s="17" t="str">
        <v/>
      </c>
    </row>
    <row r="623" spans="5:8" ht="13.2">
      <c r="E623" s="17" t="str">
        <f ca="1">IFERROR(__xludf.DUMMYFUNCTION("""COMPUTED_VALUE"""),"")</f>
        <v/>
      </c>
      <c r="F623" s="17" t="str">
        <f ca="1">IFERROR(__xludf.DUMMYFUNCTION("""COMPUTED_VALUE"""),"")</f>
        <v/>
      </c>
      <c r="G623" s="17" t="str">
        <f ca="1">IFERROR(__xludf.DUMMYFUNCTION("""COMPUTED_VALUE"""),"")</f>
        <v/>
      </c>
      <c r="H623" s="17" t="str">
        <v/>
      </c>
    </row>
    <row r="624" spans="5:8" ht="13.2">
      <c r="E624" s="17" t="str">
        <f ca="1">IFERROR(__xludf.DUMMYFUNCTION("""COMPUTED_VALUE"""),"")</f>
        <v/>
      </c>
      <c r="F624" s="17" t="str">
        <f ca="1">IFERROR(__xludf.DUMMYFUNCTION("""COMPUTED_VALUE"""),"")</f>
        <v/>
      </c>
      <c r="G624" s="17" t="str">
        <f ca="1">IFERROR(__xludf.DUMMYFUNCTION("""COMPUTED_VALUE"""),"")</f>
        <v/>
      </c>
      <c r="H624" s="17" t="str">
        <v/>
      </c>
    </row>
    <row r="625" spans="5:8" ht="13.2">
      <c r="E625" s="17" t="str">
        <f ca="1">IFERROR(__xludf.DUMMYFUNCTION("""COMPUTED_VALUE"""),"")</f>
        <v/>
      </c>
      <c r="F625" s="17" t="str">
        <f ca="1">IFERROR(__xludf.DUMMYFUNCTION("""COMPUTED_VALUE"""),"")</f>
        <v/>
      </c>
      <c r="G625" s="17" t="str">
        <f ca="1">IFERROR(__xludf.DUMMYFUNCTION("""COMPUTED_VALUE"""),"")</f>
        <v/>
      </c>
      <c r="H625" s="17" t="str">
        <v/>
      </c>
    </row>
    <row r="626" spans="5:8" ht="13.2">
      <c r="E626" s="17" t="str">
        <f ca="1">IFERROR(__xludf.DUMMYFUNCTION("""COMPUTED_VALUE"""),"")</f>
        <v/>
      </c>
      <c r="F626" s="17" t="str">
        <f ca="1">IFERROR(__xludf.DUMMYFUNCTION("""COMPUTED_VALUE"""),"")</f>
        <v/>
      </c>
      <c r="G626" s="17" t="str">
        <f ca="1">IFERROR(__xludf.DUMMYFUNCTION("""COMPUTED_VALUE"""),"")</f>
        <v/>
      </c>
      <c r="H626" s="17" t="str">
        <v/>
      </c>
    </row>
    <row r="627" spans="5:8" ht="13.2">
      <c r="E627" s="17" t="str">
        <f ca="1">IFERROR(__xludf.DUMMYFUNCTION("""COMPUTED_VALUE"""),"")</f>
        <v/>
      </c>
      <c r="F627" s="17" t="str">
        <f ca="1">IFERROR(__xludf.DUMMYFUNCTION("""COMPUTED_VALUE"""),"")</f>
        <v/>
      </c>
      <c r="G627" s="17" t="str">
        <f ca="1">IFERROR(__xludf.DUMMYFUNCTION("""COMPUTED_VALUE"""),"")</f>
        <v/>
      </c>
      <c r="H627" s="17" t="str">
        <v/>
      </c>
    </row>
    <row r="628" spans="5:8" ht="13.2">
      <c r="E628" s="17" t="str">
        <f ca="1">IFERROR(__xludf.DUMMYFUNCTION("""COMPUTED_VALUE"""),"")</f>
        <v/>
      </c>
      <c r="F628" s="17" t="str">
        <f ca="1">IFERROR(__xludf.DUMMYFUNCTION("""COMPUTED_VALUE"""),"")</f>
        <v/>
      </c>
      <c r="G628" s="17" t="str">
        <f ca="1">IFERROR(__xludf.DUMMYFUNCTION("""COMPUTED_VALUE"""),"")</f>
        <v/>
      </c>
      <c r="H628" s="17" t="str">
        <v/>
      </c>
    </row>
    <row r="629" spans="5:8" ht="13.2">
      <c r="E629" s="17" t="str">
        <f ca="1">IFERROR(__xludf.DUMMYFUNCTION("""COMPUTED_VALUE"""),"")</f>
        <v/>
      </c>
      <c r="F629" s="17" t="str">
        <f ca="1">IFERROR(__xludf.DUMMYFUNCTION("""COMPUTED_VALUE"""),"")</f>
        <v/>
      </c>
      <c r="G629" s="17" t="str">
        <f ca="1">IFERROR(__xludf.DUMMYFUNCTION("""COMPUTED_VALUE"""),"")</f>
        <v/>
      </c>
      <c r="H629" s="17" t="str">
        <v/>
      </c>
    </row>
    <row r="630" spans="5:8" ht="13.2">
      <c r="E630" s="17" t="str">
        <f ca="1">IFERROR(__xludf.DUMMYFUNCTION("""COMPUTED_VALUE"""),"")</f>
        <v/>
      </c>
      <c r="F630" s="17" t="str">
        <f ca="1">IFERROR(__xludf.DUMMYFUNCTION("""COMPUTED_VALUE"""),"")</f>
        <v/>
      </c>
      <c r="G630" s="17" t="str">
        <f ca="1">IFERROR(__xludf.DUMMYFUNCTION("""COMPUTED_VALUE"""),"")</f>
        <v/>
      </c>
      <c r="H630" s="17" t="str">
        <v/>
      </c>
    </row>
    <row r="631" spans="5:8" ht="13.2">
      <c r="E631" s="17" t="str">
        <f ca="1">IFERROR(__xludf.DUMMYFUNCTION("""COMPUTED_VALUE"""),"")</f>
        <v/>
      </c>
      <c r="F631" s="17" t="str">
        <f ca="1">IFERROR(__xludf.DUMMYFUNCTION("""COMPUTED_VALUE"""),"")</f>
        <v/>
      </c>
      <c r="G631" s="17" t="str">
        <f ca="1">IFERROR(__xludf.DUMMYFUNCTION("""COMPUTED_VALUE"""),"")</f>
        <v/>
      </c>
      <c r="H631" s="17" t="str">
        <v/>
      </c>
    </row>
    <row r="632" spans="5:8" ht="13.2">
      <c r="E632" s="17" t="str">
        <f ca="1">IFERROR(__xludf.DUMMYFUNCTION("""COMPUTED_VALUE"""),"")</f>
        <v/>
      </c>
      <c r="F632" s="17" t="str">
        <f ca="1">IFERROR(__xludf.DUMMYFUNCTION("""COMPUTED_VALUE"""),"")</f>
        <v/>
      </c>
      <c r="G632" s="17" t="str">
        <f ca="1">IFERROR(__xludf.DUMMYFUNCTION("""COMPUTED_VALUE"""),"")</f>
        <v/>
      </c>
      <c r="H632" s="17" t="str">
        <v/>
      </c>
    </row>
    <row r="633" spans="5:8" ht="13.2">
      <c r="E633" s="17" t="str">
        <f ca="1">IFERROR(__xludf.DUMMYFUNCTION("""COMPUTED_VALUE"""),"")</f>
        <v/>
      </c>
      <c r="F633" s="17" t="str">
        <f ca="1">IFERROR(__xludf.DUMMYFUNCTION("""COMPUTED_VALUE"""),"")</f>
        <v/>
      </c>
      <c r="G633" s="17" t="str">
        <f ca="1">IFERROR(__xludf.DUMMYFUNCTION("""COMPUTED_VALUE"""),"")</f>
        <v/>
      </c>
      <c r="H633" s="17" t="str">
        <v/>
      </c>
    </row>
    <row r="634" spans="5:8" ht="13.2">
      <c r="E634" s="17" t="str">
        <f ca="1">IFERROR(__xludf.DUMMYFUNCTION("""COMPUTED_VALUE"""),"")</f>
        <v/>
      </c>
      <c r="F634" s="17" t="str">
        <f ca="1">IFERROR(__xludf.DUMMYFUNCTION("""COMPUTED_VALUE"""),"")</f>
        <v/>
      </c>
      <c r="G634" s="17" t="str">
        <f ca="1">IFERROR(__xludf.DUMMYFUNCTION("""COMPUTED_VALUE"""),"")</f>
        <v/>
      </c>
      <c r="H634" s="17" t="str">
        <v/>
      </c>
    </row>
    <row r="635" spans="5:8" ht="13.2">
      <c r="E635" s="17" t="str">
        <f ca="1">IFERROR(__xludf.DUMMYFUNCTION("""COMPUTED_VALUE"""),"")</f>
        <v/>
      </c>
      <c r="F635" s="17" t="str">
        <f ca="1">IFERROR(__xludf.DUMMYFUNCTION("""COMPUTED_VALUE"""),"")</f>
        <v/>
      </c>
      <c r="G635" s="17" t="str">
        <f ca="1">IFERROR(__xludf.DUMMYFUNCTION("""COMPUTED_VALUE"""),"")</f>
        <v/>
      </c>
      <c r="H635" s="17" t="str">
        <v/>
      </c>
    </row>
    <row r="636" spans="5:8" ht="13.2">
      <c r="E636" s="17" t="str">
        <f ca="1">IFERROR(__xludf.DUMMYFUNCTION("""COMPUTED_VALUE"""),"")</f>
        <v/>
      </c>
      <c r="F636" s="17" t="str">
        <f ca="1">IFERROR(__xludf.DUMMYFUNCTION("""COMPUTED_VALUE"""),"")</f>
        <v/>
      </c>
      <c r="G636" s="17" t="str">
        <f ca="1">IFERROR(__xludf.DUMMYFUNCTION("""COMPUTED_VALUE"""),"")</f>
        <v/>
      </c>
      <c r="H636" s="17" t="str">
        <v/>
      </c>
    </row>
    <row r="637" spans="5:8" ht="13.2">
      <c r="E637" s="17" t="str">
        <f ca="1">IFERROR(__xludf.DUMMYFUNCTION("""COMPUTED_VALUE"""),"")</f>
        <v/>
      </c>
      <c r="F637" s="17" t="str">
        <f ca="1">IFERROR(__xludf.DUMMYFUNCTION("""COMPUTED_VALUE"""),"")</f>
        <v/>
      </c>
      <c r="G637" s="17" t="str">
        <f ca="1">IFERROR(__xludf.DUMMYFUNCTION("""COMPUTED_VALUE"""),"")</f>
        <v/>
      </c>
      <c r="H637" s="17" t="str">
        <v/>
      </c>
    </row>
    <row r="638" spans="5:8" ht="13.2">
      <c r="E638" s="17" t="str">
        <f ca="1">IFERROR(__xludf.DUMMYFUNCTION("""COMPUTED_VALUE"""),"")</f>
        <v/>
      </c>
      <c r="F638" s="17" t="str">
        <f ca="1">IFERROR(__xludf.DUMMYFUNCTION("""COMPUTED_VALUE"""),"")</f>
        <v/>
      </c>
      <c r="G638" s="17" t="str">
        <f ca="1">IFERROR(__xludf.DUMMYFUNCTION("""COMPUTED_VALUE"""),"")</f>
        <v/>
      </c>
      <c r="H638" s="17" t="str">
        <v/>
      </c>
    </row>
    <row r="639" spans="5:8" ht="13.2">
      <c r="E639" s="17" t="str">
        <f ca="1">IFERROR(__xludf.DUMMYFUNCTION("""COMPUTED_VALUE"""),"")</f>
        <v/>
      </c>
      <c r="F639" s="17" t="str">
        <f ca="1">IFERROR(__xludf.DUMMYFUNCTION("""COMPUTED_VALUE"""),"")</f>
        <v/>
      </c>
      <c r="G639" s="17" t="str">
        <f ca="1">IFERROR(__xludf.DUMMYFUNCTION("""COMPUTED_VALUE"""),"")</f>
        <v/>
      </c>
      <c r="H639" s="17" t="str">
        <v/>
      </c>
    </row>
    <row r="640" spans="5:8" ht="13.2">
      <c r="E640" s="17" t="str">
        <f ca="1">IFERROR(__xludf.DUMMYFUNCTION("""COMPUTED_VALUE"""),"")</f>
        <v/>
      </c>
      <c r="F640" s="17" t="str">
        <f ca="1">IFERROR(__xludf.DUMMYFUNCTION("""COMPUTED_VALUE"""),"")</f>
        <v/>
      </c>
      <c r="G640" s="17" t="str">
        <f ca="1">IFERROR(__xludf.DUMMYFUNCTION("""COMPUTED_VALUE"""),"")</f>
        <v/>
      </c>
      <c r="H640" s="17" t="str">
        <v/>
      </c>
    </row>
    <row r="641" spans="5:8" ht="13.2">
      <c r="E641" s="17" t="str">
        <f ca="1">IFERROR(__xludf.DUMMYFUNCTION("""COMPUTED_VALUE"""),"")</f>
        <v/>
      </c>
      <c r="F641" s="17" t="str">
        <f ca="1">IFERROR(__xludf.DUMMYFUNCTION("""COMPUTED_VALUE"""),"")</f>
        <v/>
      </c>
      <c r="G641" s="17" t="str">
        <f ca="1">IFERROR(__xludf.DUMMYFUNCTION("""COMPUTED_VALUE"""),"")</f>
        <v/>
      </c>
      <c r="H641" s="17" t="str">
        <v/>
      </c>
    </row>
    <row r="642" spans="5:8" ht="13.2">
      <c r="E642" s="17" t="str">
        <f ca="1">IFERROR(__xludf.DUMMYFUNCTION("""COMPUTED_VALUE"""),"")</f>
        <v/>
      </c>
      <c r="F642" s="17" t="str">
        <f ca="1">IFERROR(__xludf.DUMMYFUNCTION("""COMPUTED_VALUE"""),"")</f>
        <v/>
      </c>
      <c r="G642" s="17" t="str">
        <f ca="1">IFERROR(__xludf.DUMMYFUNCTION("""COMPUTED_VALUE"""),"")</f>
        <v/>
      </c>
      <c r="H642" s="17" t="str">
        <v/>
      </c>
    </row>
    <row r="643" spans="5:8" ht="13.2">
      <c r="E643" s="17" t="str">
        <f ca="1">IFERROR(__xludf.DUMMYFUNCTION("""COMPUTED_VALUE"""),"")</f>
        <v/>
      </c>
      <c r="F643" s="17" t="str">
        <f ca="1">IFERROR(__xludf.DUMMYFUNCTION("""COMPUTED_VALUE"""),"")</f>
        <v/>
      </c>
      <c r="G643" s="17" t="str">
        <f ca="1">IFERROR(__xludf.DUMMYFUNCTION("""COMPUTED_VALUE"""),"")</f>
        <v/>
      </c>
      <c r="H643" s="17" t="str">
        <v/>
      </c>
    </row>
    <row r="644" spans="5:8" ht="13.2">
      <c r="E644" s="17" t="str">
        <f ca="1">IFERROR(__xludf.DUMMYFUNCTION("""COMPUTED_VALUE"""),"")</f>
        <v/>
      </c>
      <c r="F644" s="17" t="str">
        <f ca="1">IFERROR(__xludf.DUMMYFUNCTION("""COMPUTED_VALUE"""),"")</f>
        <v/>
      </c>
      <c r="G644" s="17" t="str">
        <f ca="1">IFERROR(__xludf.DUMMYFUNCTION("""COMPUTED_VALUE"""),"")</f>
        <v/>
      </c>
      <c r="H644" s="17" t="str">
        <v/>
      </c>
    </row>
    <row r="645" spans="5:8" ht="13.2">
      <c r="E645" s="17" t="str">
        <f ca="1">IFERROR(__xludf.DUMMYFUNCTION("""COMPUTED_VALUE"""),"")</f>
        <v/>
      </c>
      <c r="F645" s="17" t="str">
        <f ca="1">IFERROR(__xludf.DUMMYFUNCTION("""COMPUTED_VALUE"""),"")</f>
        <v/>
      </c>
      <c r="G645" s="17" t="str">
        <f ca="1">IFERROR(__xludf.DUMMYFUNCTION("""COMPUTED_VALUE"""),"")</f>
        <v/>
      </c>
      <c r="H645" s="17" t="str">
        <v/>
      </c>
    </row>
    <row r="646" spans="5:8" ht="13.2">
      <c r="E646" s="17" t="str">
        <f ca="1">IFERROR(__xludf.DUMMYFUNCTION("""COMPUTED_VALUE"""),"")</f>
        <v/>
      </c>
      <c r="F646" s="17" t="str">
        <f ca="1">IFERROR(__xludf.DUMMYFUNCTION("""COMPUTED_VALUE"""),"")</f>
        <v/>
      </c>
      <c r="G646" s="17" t="str">
        <f ca="1">IFERROR(__xludf.DUMMYFUNCTION("""COMPUTED_VALUE"""),"")</f>
        <v/>
      </c>
      <c r="H646" s="17" t="str">
        <v/>
      </c>
    </row>
    <row r="647" spans="5:8" ht="13.2">
      <c r="E647" s="17" t="str">
        <f ca="1">IFERROR(__xludf.DUMMYFUNCTION("""COMPUTED_VALUE"""),"")</f>
        <v/>
      </c>
      <c r="F647" s="17" t="str">
        <f ca="1">IFERROR(__xludf.DUMMYFUNCTION("""COMPUTED_VALUE"""),"")</f>
        <v/>
      </c>
      <c r="G647" s="17" t="str">
        <f ca="1">IFERROR(__xludf.DUMMYFUNCTION("""COMPUTED_VALUE"""),"")</f>
        <v/>
      </c>
      <c r="H647" s="17" t="str">
        <v/>
      </c>
    </row>
    <row r="648" spans="5:8" ht="13.2">
      <c r="E648" s="17" t="str">
        <f ca="1">IFERROR(__xludf.DUMMYFUNCTION("""COMPUTED_VALUE"""),"")</f>
        <v/>
      </c>
      <c r="F648" s="17" t="str">
        <f ca="1">IFERROR(__xludf.DUMMYFUNCTION("""COMPUTED_VALUE"""),"")</f>
        <v/>
      </c>
      <c r="G648" s="17" t="str">
        <f ca="1">IFERROR(__xludf.DUMMYFUNCTION("""COMPUTED_VALUE"""),"")</f>
        <v/>
      </c>
      <c r="H648" s="17" t="str">
        <v/>
      </c>
    </row>
    <row r="649" spans="5:8" ht="13.2">
      <c r="E649" s="17" t="str">
        <f ca="1">IFERROR(__xludf.DUMMYFUNCTION("""COMPUTED_VALUE"""),"")</f>
        <v/>
      </c>
      <c r="F649" s="17" t="str">
        <f ca="1">IFERROR(__xludf.DUMMYFUNCTION("""COMPUTED_VALUE"""),"")</f>
        <v/>
      </c>
      <c r="G649" s="17" t="str">
        <f ca="1">IFERROR(__xludf.DUMMYFUNCTION("""COMPUTED_VALUE"""),"")</f>
        <v/>
      </c>
      <c r="H649" s="17" t="str">
        <v/>
      </c>
    </row>
    <row r="650" spans="5:8" ht="13.2">
      <c r="E650" s="17" t="str">
        <f ca="1">IFERROR(__xludf.DUMMYFUNCTION("""COMPUTED_VALUE"""),"")</f>
        <v/>
      </c>
      <c r="F650" s="17" t="str">
        <f ca="1">IFERROR(__xludf.DUMMYFUNCTION("""COMPUTED_VALUE"""),"")</f>
        <v/>
      </c>
      <c r="G650" s="17" t="str">
        <f ca="1">IFERROR(__xludf.DUMMYFUNCTION("""COMPUTED_VALUE"""),"")</f>
        <v/>
      </c>
      <c r="H650" s="17" t="str">
        <v/>
      </c>
    </row>
    <row r="651" spans="5:8" ht="13.2">
      <c r="E651" s="17" t="str">
        <f ca="1">IFERROR(__xludf.DUMMYFUNCTION("""COMPUTED_VALUE"""),"")</f>
        <v/>
      </c>
      <c r="F651" s="17" t="str">
        <f ca="1">IFERROR(__xludf.DUMMYFUNCTION("""COMPUTED_VALUE"""),"")</f>
        <v/>
      </c>
      <c r="G651" s="17" t="str">
        <f ca="1">IFERROR(__xludf.DUMMYFUNCTION("""COMPUTED_VALUE"""),"")</f>
        <v/>
      </c>
      <c r="H651" s="17" t="str">
        <v/>
      </c>
    </row>
    <row r="652" spans="5:8" ht="13.2">
      <c r="E652" s="17" t="str">
        <f ca="1">IFERROR(__xludf.DUMMYFUNCTION("""COMPUTED_VALUE"""),"")</f>
        <v/>
      </c>
      <c r="F652" s="17" t="str">
        <f ca="1">IFERROR(__xludf.DUMMYFUNCTION("""COMPUTED_VALUE"""),"")</f>
        <v/>
      </c>
      <c r="G652" s="17" t="str">
        <f ca="1">IFERROR(__xludf.DUMMYFUNCTION("""COMPUTED_VALUE"""),"")</f>
        <v/>
      </c>
      <c r="H652" s="17" t="str">
        <v/>
      </c>
    </row>
    <row r="653" spans="5:8" ht="13.2">
      <c r="E653" s="17" t="str">
        <f ca="1">IFERROR(__xludf.DUMMYFUNCTION("""COMPUTED_VALUE"""),"")</f>
        <v/>
      </c>
      <c r="F653" s="17" t="str">
        <f ca="1">IFERROR(__xludf.DUMMYFUNCTION("""COMPUTED_VALUE"""),"")</f>
        <v/>
      </c>
      <c r="G653" s="17" t="str">
        <f ca="1">IFERROR(__xludf.DUMMYFUNCTION("""COMPUTED_VALUE"""),"")</f>
        <v/>
      </c>
      <c r="H653" s="17" t="str">
        <v/>
      </c>
    </row>
    <row r="654" spans="5:8" ht="13.2">
      <c r="E654" s="17" t="str">
        <f ca="1">IFERROR(__xludf.DUMMYFUNCTION("""COMPUTED_VALUE"""),"")</f>
        <v/>
      </c>
      <c r="F654" s="17" t="str">
        <f ca="1">IFERROR(__xludf.DUMMYFUNCTION("""COMPUTED_VALUE"""),"")</f>
        <v/>
      </c>
      <c r="G654" s="17" t="str">
        <f ca="1">IFERROR(__xludf.DUMMYFUNCTION("""COMPUTED_VALUE"""),"")</f>
        <v/>
      </c>
      <c r="H654" s="17" t="str">
        <v/>
      </c>
    </row>
    <row r="655" spans="5:8" ht="13.2">
      <c r="E655" s="17" t="str">
        <f ca="1">IFERROR(__xludf.DUMMYFUNCTION("""COMPUTED_VALUE"""),"")</f>
        <v/>
      </c>
      <c r="F655" s="17" t="str">
        <f ca="1">IFERROR(__xludf.DUMMYFUNCTION("""COMPUTED_VALUE"""),"")</f>
        <v/>
      </c>
      <c r="G655" s="17" t="str">
        <f ca="1">IFERROR(__xludf.DUMMYFUNCTION("""COMPUTED_VALUE"""),"")</f>
        <v/>
      </c>
      <c r="H655" s="17" t="str">
        <v/>
      </c>
    </row>
    <row r="656" spans="5:8" ht="13.2">
      <c r="E656" s="17" t="str">
        <f ca="1">IFERROR(__xludf.DUMMYFUNCTION("""COMPUTED_VALUE"""),"")</f>
        <v/>
      </c>
      <c r="F656" s="17" t="str">
        <f ca="1">IFERROR(__xludf.DUMMYFUNCTION("""COMPUTED_VALUE"""),"")</f>
        <v/>
      </c>
      <c r="G656" s="17" t="str">
        <f ca="1">IFERROR(__xludf.DUMMYFUNCTION("""COMPUTED_VALUE"""),"")</f>
        <v/>
      </c>
      <c r="H656" s="17" t="str">
        <v/>
      </c>
    </row>
    <row r="657" spans="5:8" ht="13.2">
      <c r="E657" s="17" t="str">
        <f ca="1">IFERROR(__xludf.DUMMYFUNCTION("""COMPUTED_VALUE"""),"")</f>
        <v/>
      </c>
      <c r="F657" s="17" t="str">
        <f ca="1">IFERROR(__xludf.DUMMYFUNCTION("""COMPUTED_VALUE"""),"")</f>
        <v/>
      </c>
      <c r="G657" s="17" t="str">
        <f ca="1">IFERROR(__xludf.DUMMYFUNCTION("""COMPUTED_VALUE"""),"")</f>
        <v/>
      </c>
      <c r="H657" s="17" t="str">
        <v/>
      </c>
    </row>
    <row r="658" spans="5:8" ht="13.2">
      <c r="E658" s="17" t="str">
        <f ca="1">IFERROR(__xludf.DUMMYFUNCTION("""COMPUTED_VALUE"""),"")</f>
        <v/>
      </c>
      <c r="F658" s="17" t="str">
        <f ca="1">IFERROR(__xludf.DUMMYFUNCTION("""COMPUTED_VALUE"""),"")</f>
        <v/>
      </c>
      <c r="G658" s="17" t="str">
        <f ca="1">IFERROR(__xludf.DUMMYFUNCTION("""COMPUTED_VALUE"""),"")</f>
        <v/>
      </c>
      <c r="H658" s="17" t="str">
        <v/>
      </c>
    </row>
    <row r="659" spans="5:8" ht="13.2">
      <c r="E659" s="17" t="str">
        <f ca="1">IFERROR(__xludf.DUMMYFUNCTION("""COMPUTED_VALUE"""),"")</f>
        <v/>
      </c>
      <c r="F659" s="17" t="str">
        <f ca="1">IFERROR(__xludf.DUMMYFUNCTION("""COMPUTED_VALUE"""),"")</f>
        <v/>
      </c>
      <c r="G659" s="17" t="str">
        <f ca="1">IFERROR(__xludf.DUMMYFUNCTION("""COMPUTED_VALUE"""),"")</f>
        <v/>
      </c>
      <c r="H659" s="17" t="str">
        <v/>
      </c>
    </row>
    <row r="660" spans="5:8" ht="13.2">
      <c r="E660" s="17" t="str">
        <f ca="1">IFERROR(__xludf.DUMMYFUNCTION("""COMPUTED_VALUE"""),"")</f>
        <v/>
      </c>
      <c r="F660" s="17" t="str">
        <f ca="1">IFERROR(__xludf.DUMMYFUNCTION("""COMPUTED_VALUE"""),"")</f>
        <v/>
      </c>
      <c r="G660" s="17" t="str">
        <f ca="1">IFERROR(__xludf.DUMMYFUNCTION("""COMPUTED_VALUE"""),"")</f>
        <v/>
      </c>
      <c r="H660" s="17" t="str">
        <v/>
      </c>
    </row>
    <row r="661" spans="5:8" ht="13.2">
      <c r="E661" s="17" t="str">
        <f ca="1">IFERROR(__xludf.DUMMYFUNCTION("""COMPUTED_VALUE"""),"")</f>
        <v/>
      </c>
      <c r="F661" s="17" t="str">
        <f ca="1">IFERROR(__xludf.DUMMYFUNCTION("""COMPUTED_VALUE"""),"")</f>
        <v/>
      </c>
      <c r="G661" s="17" t="str">
        <f ca="1">IFERROR(__xludf.DUMMYFUNCTION("""COMPUTED_VALUE"""),"")</f>
        <v/>
      </c>
      <c r="H661" s="17" t="str">
        <v/>
      </c>
    </row>
    <row r="662" spans="5:8" ht="13.2">
      <c r="E662" s="17" t="str">
        <f ca="1">IFERROR(__xludf.DUMMYFUNCTION("""COMPUTED_VALUE"""),"")</f>
        <v/>
      </c>
      <c r="F662" s="17" t="str">
        <f ca="1">IFERROR(__xludf.DUMMYFUNCTION("""COMPUTED_VALUE"""),"")</f>
        <v/>
      </c>
      <c r="G662" s="17" t="str">
        <f ca="1">IFERROR(__xludf.DUMMYFUNCTION("""COMPUTED_VALUE"""),"")</f>
        <v/>
      </c>
      <c r="H662" s="17" t="str">
        <v/>
      </c>
    </row>
    <row r="663" spans="5:8" ht="13.2">
      <c r="E663" s="17" t="str">
        <f ca="1">IFERROR(__xludf.DUMMYFUNCTION("""COMPUTED_VALUE"""),"")</f>
        <v/>
      </c>
      <c r="F663" s="17" t="str">
        <f ca="1">IFERROR(__xludf.DUMMYFUNCTION("""COMPUTED_VALUE"""),"")</f>
        <v/>
      </c>
      <c r="G663" s="17" t="str">
        <f ca="1">IFERROR(__xludf.DUMMYFUNCTION("""COMPUTED_VALUE"""),"")</f>
        <v/>
      </c>
      <c r="H663" s="17" t="str">
        <v/>
      </c>
    </row>
    <row r="664" spans="5:8" ht="13.2">
      <c r="E664" s="17" t="str">
        <f ca="1">IFERROR(__xludf.DUMMYFUNCTION("""COMPUTED_VALUE"""),"")</f>
        <v/>
      </c>
      <c r="F664" s="17" t="str">
        <f ca="1">IFERROR(__xludf.DUMMYFUNCTION("""COMPUTED_VALUE"""),"")</f>
        <v/>
      </c>
      <c r="G664" s="17" t="str">
        <f ca="1">IFERROR(__xludf.DUMMYFUNCTION("""COMPUTED_VALUE"""),"")</f>
        <v/>
      </c>
      <c r="H664" s="17" t="str">
        <v/>
      </c>
    </row>
    <row r="665" spans="5:8" ht="13.2">
      <c r="E665" s="17" t="str">
        <f ca="1">IFERROR(__xludf.DUMMYFUNCTION("""COMPUTED_VALUE"""),"")</f>
        <v/>
      </c>
      <c r="F665" s="17" t="str">
        <f ca="1">IFERROR(__xludf.DUMMYFUNCTION("""COMPUTED_VALUE"""),"")</f>
        <v/>
      </c>
      <c r="G665" s="17" t="str">
        <f ca="1">IFERROR(__xludf.DUMMYFUNCTION("""COMPUTED_VALUE"""),"")</f>
        <v/>
      </c>
      <c r="H665" s="17" t="str">
        <v/>
      </c>
    </row>
    <row r="666" spans="5:8" ht="13.2">
      <c r="E666" s="17" t="str">
        <f ca="1">IFERROR(__xludf.DUMMYFUNCTION("""COMPUTED_VALUE"""),"")</f>
        <v/>
      </c>
      <c r="F666" s="17" t="str">
        <f ca="1">IFERROR(__xludf.DUMMYFUNCTION("""COMPUTED_VALUE"""),"")</f>
        <v/>
      </c>
      <c r="G666" s="17" t="str">
        <f ca="1">IFERROR(__xludf.DUMMYFUNCTION("""COMPUTED_VALUE"""),"")</f>
        <v/>
      </c>
      <c r="H666" s="17" t="str">
        <v/>
      </c>
    </row>
    <row r="667" spans="5:8" ht="13.2">
      <c r="E667" s="17" t="str">
        <f ca="1">IFERROR(__xludf.DUMMYFUNCTION("""COMPUTED_VALUE"""),"")</f>
        <v/>
      </c>
      <c r="F667" s="17" t="str">
        <f ca="1">IFERROR(__xludf.DUMMYFUNCTION("""COMPUTED_VALUE"""),"")</f>
        <v/>
      </c>
      <c r="G667" s="17" t="str">
        <f ca="1">IFERROR(__xludf.DUMMYFUNCTION("""COMPUTED_VALUE"""),"")</f>
        <v/>
      </c>
      <c r="H667" s="17" t="str">
        <v/>
      </c>
    </row>
    <row r="668" spans="5:8" ht="13.2">
      <c r="E668" s="17" t="str">
        <f ca="1">IFERROR(__xludf.DUMMYFUNCTION("""COMPUTED_VALUE"""),"")</f>
        <v/>
      </c>
      <c r="F668" s="17" t="str">
        <f ca="1">IFERROR(__xludf.DUMMYFUNCTION("""COMPUTED_VALUE"""),"")</f>
        <v/>
      </c>
      <c r="G668" s="17" t="str">
        <f ca="1">IFERROR(__xludf.DUMMYFUNCTION("""COMPUTED_VALUE"""),"")</f>
        <v/>
      </c>
      <c r="H668" s="17" t="str">
        <v/>
      </c>
    </row>
    <row r="669" spans="5:8" ht="13.2">
      <c r="E669" s="17" t="str">
        <f ca="1">IFERROR(__xludf.DUMMYFUNCTION("""COMPUTED_VALUE"""),"")</f>
        <v/>
      </c>
      <c r="F669" s="17" t="str">
        <f ca="1">IFERROR(__xludf.DUMMYFUNCTION("""COMPUTED_VALUE"""),"")</f>
        <v/>
      </c>
      <c r="G669" s="17" t="str">
        <f ca="1">IFERROR(__xludf.DUMMYFUNCTION("""COMPUTED_VALUE"""),"")</f>
        <v/>
      </c>
      <c r="H669" s="17" t="str">
        <v/>
      </c>
    </row>
    <row r="670" spans="5:8" ht="13.2">
      <c r="E670" s="17" t="str">
        <f ca="1">IFERROR(__xludf.DUMMYFUNCTION("""COMPUTED_VALUE"""),"")</f>
        <v/>
      </c>
      <c r="F670" s="17" t="str">
        <f ca="1">IFERROR(__xludf.DUMMYFUNCTION("""COMPUTED_VALUE"""),"")</f>
        <v/>
      </c>
      <c r="G670" s="17" t="str">
        <f ca="1">IFERROR(__xludf.DUMMYFUNCTION("""COMPUTED_VALUE"""),"")</f>
        <v/>
      </c>
      <c r="H670" s="17" t="str">
        <v/>
      </c>
    </row>
    <row r="671" spans="5:8" ht="13.2">
      <c r="E671" s="17" t="str">
        <f ca="1">IFERROR(__xludf.DUMMYFUNCTION("""COMPUTED_VALUE"""),"")</f>
        <v/>
      </c>
      <c r="F671" s="17" t="str">
        <f ca="1">IFERROR(__xludf.DUMMYFUNCTION("""COMPUTED_VALUE"""),"")</f>
        <v/>
      </c>
      <c r="G671" s="17" t="str">
        <f ca="1">IFERROR(__xludf.DUMMYFUNCTION("""COMPUTED_VALUE"""),"")</f>
        <v/>
      </c>
      <c r="H671" s="17" t="str">
        <v/>
      </c>
    </row>
    <row r="672" spans="5:8" ht="13.2">
      <c r="E672" s="17" t="str">
        <f ca="1">IFERROR(__xludf.DUMMYFUNCTION("""COMPUTED_VALUE"""),"")</f>
        <v/>
      </c>
      <c r="F672" s="17" t="str">
        <f ca="1">IFERROR(__xludf.DUMMYFUNCTION("""COMPUTED_VALUE"""),"")</f>
        <v/>
      </c>
      <c r="G672" s="17" t="str">
        <f ca="1">IFERROR(__xludf.DUMMYFUNCTION("""COMPUTED_VALUE"""),"")</f>
        <v/>
      </c>
      <c r="H672" s="17" t="str">
        <v/>
      </c>
    </row>
    <row r="673" spans="5:8" ht="13.2">
      <c r="E673" s="17" t="str">
        <f ca="1">IFERROR(__xludf.DUMMYFUNCTION("""COMPUTED_VALUE"""),"")</f>
        <v/>
      </c>
      <c r="F673" s="17" t="str">
        <f ca="1">IFERROR(__xludf.DUMMYFUNCTION("""COMPUTED_VALUE"""),"")</f>
        <v/>
      </c>
      <c r="G673" s="17" t="str">
        <f ca="1">IFERROR(__xludf.DUMMYFUNCTION("""COMPUTED_VALUE"""),"")</f>
        <v/>
      </c>
      <c r="H673" s="17" t="str">
        <v/>
      </c>
    </row>
    <row r="674" spans="5:8" ht="13.2">
      <c r="E674" s="17" t="str">
        <f ca="1">IFERROR(__xludf.DUMMYFUNCTION("""COMPUTED_VALUE"""),"")</f>
        <v/>
      </c>
      <c r="F674" s="17" t="str">
        <f ca="1">IFERROR(__xludf.DUMMYFUNCTION("""COMPUTED_VALUE"""),"")</f>
        <v/>
      </c>
      <c r="G674" s="17" t="str">
        <f ca="1">IFERROR(__xludf.DUMMYFUNCTION("""COMPUTED_VALUE"""),"")</f>
        <v/>
      </c>
      <c r="H674" s="17" t="str">
        <v/>
      </c>
    </row>
    <row r="675" spans="5:8" ht="13.2">
      <c r="E675" s="17" t="str">
        <f ca="1">IFERROR(__xludf.DUMMYFUNCTION("""COMPUTED_VALUE"""),"")</f>
        <v/>
      </c>
      <c r="F675" s="17" t="str">
        <f ca="1">IFERROR(__xludf.DUMMYFUNCTION("""COMPUTED_VALUE"""),"")</f>
        <v/>
      </c>
      <c r="G675" s="17" t="str">
        <f ca="1">IFERROR(__xludf.DUMMYFUNCTION("""COMPUTED_VALUE"""),"")</f>
        <v/>
      </c>
      <c r="H675" s="17" t="str">
        <v/>
      </c>
    </row>
    <row r="676" spans="5:8" ht="13.2">
      <c r="E676" s="17" t="str">
        <f ca="1">IFERROR(__xludf.DUMMYFUNCTION("""COMPUTED_VALUE"""),"")</f>
        <v/>
      </c>
      <c r="F676" s="17" t="str">
        <f ca="1">IFERROR(__xludf.DUMMYFUNCTION("""COMPUTED_VALUE"""),"")</f>
        <v/>
      </c>
      <c r="G676" s="17" t="str">
        <f ca="1">IFERROR(__xludf.DUMMYFUNCTION("""COMPUTED_VALUE"""),"")</f>
        <v/>
      </c>
      <c r="H676" s="17" t="str">
        <v/>
      </c>
    </row>
    <row r="677" spans="5:8" ht="13.2">
      <c r="E677" s="17" t="str">
        <f ca="1">IFERROR(__xludf.DUMMYFUNCTION("""COMPUTED_VALUE"""),"")</f>
        <v/>
      </c>
      <c r="F677" s="17" t="str">
        <f ca="1">IFERROR(__xludf.DUMMYFUNCTION("""COMPUTED_VALUE"""),"")</f>
        <v/>
      </c>
      <c r="G677" s="17" t="str">
        <f ca="1">IFERROR(__xludf.DUMMYFUNCTION("""COMPUTED_VALUE"""),"")</f>
        <v/>
      </c>
      <c r="H677" s="17" t="str">
        <v/>
      </c>
    </row>
    <row r="678" spans="5:8" ht="13.2">
      <c r="E678" s="17" t="str">
        <f ca="1">IFERROR(__xludf.DUMMYFUNCTION("""COMPUTED_VALUE"""),"")</f>
        <v/>
      </c>
      <c r="F678" s="17" t="str">
        <f ca="1">IFERROR(__xludf.DUMMYFUNCTION("""COMPUTED_VALUE"""),"")</f>
        <v/>
      </c>
      <c r="G678" s="17" t="str">
        <f ca="1">IFERROR(__xludf.DUMMYFUNCTION("""COMPUTED_VALUE"""),"")</f>
        <v/>
      </c>
      <c r="H678" s="17" t="str">
        <v/>
      </c>
    </row>
    <row r="679" spans="5:8" ht="13.2">
      <c r="E679" s="17" t="str">
        <f ca="1">IFERROR(__xludf.DUMMYFUNCTION("""COMPUTED_VALUE"""),"")</f>
        <v/>
      </c>
      <c r="F679" s="17" t="str">
        <f ca="1">IFERROR(__xludf.DUMMYFUNCTION("""COMPUTED_VALUE"""),"")</f>
        <v/>
      </c>
      <c r="G679" s="17" t="str">
        <f ca="1">IFERROR(__xludf.DUMMYFUNCTION("""COMPUTED_VALUE"""),"")</f>
        <v/>
      </c>
      <c r="H679" s="17" t="str">
        <v/>
      </c>
    </row>
    <row r="680" spans="5:8" ht="13.2">
      <c r="E680" s="17" t="str">
        <f ca="1">IFERROR(__xludf.DUMMYFUNCTION("""COMPUTED_VALUE"""),"")</f>
        <v/>
      </c>
      <c r="F680" s="17" t="str">
        <f ca="1">IFERROR(__xludf.DUMMYFUNCTION("""COMPUTED_VALUE"""),"")</f>
        <v/>
      </c>
      <c r="G680" s="17" t="str">
        <f ca="1">IFERROR(__xludf.DUMMYFUNCTION("""COMPUTED_VALUE"""),"")</f>
        <v/>
      </c>
      <c r="H680" s="17" t="str">
        <v/>
      </c>
    </row>
    <row r="681" spans="5:8" ht="13.2">
      <c r="E681" s="17" t="str">
        <f ca="1">IFERROR(__xludf.DUMMYFUNCTION("""COMPUTED_VALUE"""),"")</f>
        <v/>
      </c>
      <c r="F681" s="17" t="str">
        <f ca="1">IFERROR(__xludf.DUMMYFUNCTION("""COMPUTED_VALUE"""),"")</f>
        <v/>
      </c>
      <c r="G681" s="17" t="str">
        <f ca="1">IFERROR(__xludf.DUMMYFUNCTION("""COMPUTED_VALUE"""),"")</f>
        <v/>
      </c>
      <c r="H681" s="17" t="str">
        <v/>
      </c>
    </row>
    <row r="682" spans="5:8" ht="13.2">
      <c r="E682" s="17" t="str">
        <f ca="1">IFERROR(__xludf.DUMMYFUNCTION("""COMPUTED_VALUE"""),"")</f>
        <v/>
      </c>
      <c r="F682" s="17" t="str">
        <f ca="1">IFERROR(__xludf.DUMMYFUNCTION("""COMPUTED_VALUE"""),"")</f>
        <v/>
      </c>
      <c r="G682" s="17" t="str">
        <f ca="1">IFERROR(__xludf.DUMMYFUNCTION("""COMPUTED_VALUE"""),"")</f>
        <v/>
      </c>
      <c r="H682" s="17" t="str">
        <v/>
      </c>
    </row>
    <row r="683" spans="5:8" ht="13.2">
      <c r="E683" s="17" t="str">
        <f ca="1">IFERROR(__xludf.DUMMYFUNCTION("""COMPUTED_VALUE"""),"")</f>
        <v/>
      </c>
      <c r="F683" s="17" t="str">
        <f ca="1">IFERROR(__xludf.DUMMYFUNCTION("""COMPUTED_VALUE"""),"")</f>
        <v/>
      </c>
      <c r="G683" s="17" t="str">
        <f ca="1">IFERROR(__xludf.DUMMYFUNCTION("""COMPUTED_VALUE"""),"")</f>
        <v/>
      </c>
      <c r="H683" s="17" t="str">
        <v/>
      </c>
    </row>
    <row r="684" spans="5:8" ht="13.2">
      <c r="E684" s="17" t="str">
        <f ca="1">IFERROR(__xludf.DUMMYFUNCTION("""COMPUTED_VALUE"""),"")</f>
        <v/>
      </c>
      <c r="F684" s="17" t="str">
        <f ca="1">IFERROR(__xludf.DUMMYFUNCTION("""COMPUTED_VALUE"""),"")</f>
        <v/>
      </c>
      <c r="G684" s="17" t="str">
        <f ca="1">IFERROR(__xludf.DUMMYFUNCTION("""COMPUTED_VALUE"""),"")</f>
        <v/>
      </c>
      <c r="H684" s="17" t="str">
        <v/>
      </c>
    </row>
    <row r="685" spans="5:8" ht="13.2">
      <c r="E685" s="17" t="str">
        <f ca="1">IFERROR(__xludf.DUMMYFUNCTION("""COMPUTED_VALUE"""),"")</f>
        <v/>
      </c>
      <c r="F685" s="17" t="str">
        <f ca="1">IFERROR(__xludf.DUMMYFUNCTION("""COMPUTED_VALUE"""),"")</f>
        <v/>
      </c>
      <c r="G685" s="17" t="str">
        <f ca="1">IFERROR(__xludf.DUMMYFUNCTION("""COMPUTED_VALUE"""),"")</f>
        <v/>
      </c>
      <c r="H685" s="17" t="str">
        <v/>
      </c>
    </row>
    <row r="686" spans="5:8" ht="13.2">
      <c r="E686" s="17" t="str">
        <f ca="1">IFERROR(__xludf.DUMMYFUNCTION("""COMPUTED_VALUE"""),"")</f>
        <v/>
      </c>
      <c r="F686" s="17" t="str">
        <f ca="1">IFERROR(__xludf.DUMMYFUNCTION("""COMPUTED_VALUE"""),"")</f>
        <v/>
      </c>
      <c r="G686" s="17" t="str">
        <f ca="1">IFERROR(__xludf.DUMMYFUNCTION("""COMPUTED_VALUE"""),"")</f>
        <v/>
      </c>
      <c r="H686" s="17" t="str">
        <v/>
      </c>
    </row>
    <row r="687" spans="5:8" ht="13.2">
      <c r="E687" s="17" t="str">
        <f ca="1">IFERROR(__xludf.DUMMYFUNCTION("""COMPUTED_VALUE"""),"")</f>
        <v/>
      </c>
      <c r="F687" s="17" t="str">
        <f ca="1">IFERROR(__xludf.DUMMYFUNCTION("""COMPUTED_VALUE"""),"")</f>
        <v/>
      </c>
      <c r="G687" s="17" t="str">
        <f ca="1">IFERROR(__xludf.DUMMYFUNCTION("""COMPUTED_VALUE"""),"")</f>
        <v/>
      </c>
      <c r="H687" s="17" t="str">
        <v/>
      </c>
    </row>
    <row r="688" spans="5:8" ht="13.2">
      <c r="E688" s="17" t="str">
        <f ca="1">IFERROR(__xludf.DUMMYFUNCTION("""COMPUTED_VALUE"""),"")</f>
        <v/>
      </c>
      <c r="F688" s="17" t="str">
        <f ca="1">IFERROR(__xludf.DUMMYFUNCTION("""COMPUTED_VALUE"""),"")</f>
        <v/>
      </c>
      <c r="G688" s="17" t="str">
        <f ca="1">IFERROR(__xludf.DUMMYFUNCTION("""COMPUTED_VALUE"""),"")</f>
        <v/>
      </c>
      <c r="H688" s="17" t="str">
        <v/>
      </c>
    </row>
    <row r="689" spans="5:8" ht="13.2">
      <c r="E689" s="17" t="str">
        <f ca="1">IFERROR(__xludf.DUMMYFUNCTION("""COMPUTED_VALUE"""),"")</f>
        <v/>
      </c>
      <c r="F689" s="17" t="str">
        <f ca="1">IFERROR(__xludf.DUMMYFUNCTION("""COMPUTED_VALUE"""),"")</f>
        <v/>
      </c>
      <c r="G689" s="17" t="str">
        <f ca="1">IFERROR(__xludf.DUMMYFUNCTION("""COMPUTED_VALUE"""),"")</f>
        <v/>
      </c>
      <c r="H689" s="17" t="str">
        <v/>
      </c>
    </row>
    <row r="690" spans="5:8" ht="13.2">
      <c r="E690" s="17" t="str">
        <f ca="1">IFERROR(__xludf.DUMMYFUNCTION("""COMPUTED_VALUE"""),"")</f>
        <v/>
      </c>
      <c r="F690" s="17" t="str">
        <f ca="1">IFERROR(__xludf.DUMMYFUNCTION("""COMPUTED_VALUE"""),"")</f>
        <v/>
      </c>
      <c r="G690" s="17" t="str">
        <f ca="1">IFERROR(__xludf.DUMMYFUNCTION("""COMPUTED_VALUE"""),"")</f>
        <v/>
      </c>
      <c r="H690" s="17" t="str">
        <v/>
      </c>
    </row>
    <row r="691" spans="5:8" ht="13.2">
      <c r="E691" s="17" t="str">
        <f ca="1">IFERROR(__xludf.DUMMYFUNCTION("""COMPUTED_VALUE"""),"")</f>
        <v/>
      </c>
      <c r="F691" s="17" t="str">
        <f ca="1">IFERROR(__xludf.DUMMYFUNCTION("""COMPUTED_VALUE"""),"")</f>
        <v/>
      </c>
      <c r="G691" s="17" t="str">
        <f ca="1">IFERROR(__xludf.DUMMYFUNCTION("""COMPUTED_VALUE"""),"")</f>
        <v/>
      </c>
      <c r="H691" s="17" t="str">
        <v/>
      </c>
    </row>
    <row r="692" spans="5:8" ht="13.2">
      <c r="E692" s="17" t="str">
        <f ca="1">IFERROR(__xludf.DUMMYFUNCTION("""COMPUTED_VALUE"""),"")</f>
        <v/>
      </c>
      <c r="F692" s="17" t="str">
        <f ca="1">IFERROR(__xludf.DUMMYFUNCTION("""COMPUTED_VALUE"""),"")</f>
        <v/>
      </c>
      <c r="G692" s="17" t="str">
        <f ca="1">IFERROR(__xludf.DUMMYFUNCTION("""COMPUTED_VALUE"""),"")</f>
        <v/>
      </c>
      <c r="H692" s="17" t="str">
        <v/>
      </c>
    </row>
    <row r="693" spans="5:8" ht="13.2">
      <c r="E693" s="17" t="str">
        <f ca="1">IFERROR(__xludf.DUMMYFUNCTION("""COMPUTED_VALUE"""),"")</f>
        <v/>
      </c>
      <c r="F693" s="17" t="str">
        <f ca="1">IFERROR(__xludf.DUMMYFUNCTION("""COMPUTED_VALUE"""),"")</f>
        <v/>
      </c>
      <c r="G693" s="17" t="str">
        <f ca="1">IFERROR(__xludf.DUMMYFUNCTION("""COMPUTED_VALUE"""),"")</f>
        <v/>
      </c>
      <c r="H693" s="17" t="str">
        <v/>
      </c>
    </row>
    <row r="694" spans="5:8" ht="13.2">
      <c r="E694" s="17" t="str">
        <f ca="1">IFERROR(__xludf.DUMMYFUNCTION("""COMPUTED_VALUE"""),"")</f>
        <v/>
      </c>
      <c r="F694" s="17" t="str">
        <f ca="1">IFERROR(__xludf.DUMMYFUNCTION("""COMPUTED_VALUE"""),"")</f>
        <v/>
      </c>
      <c r="G694" s="17" t="str">
        <f ca="1">IFERROR(__xludf.DUMMYFUNCTION("""COMPUTED_VALUE"""),"")</f>
        <v/>
      </c>
      <c r="H694" s="17" t="str">
        <v/>
      </c>
    </row>
    <row r="695" spans="5:8" ht="13.2">
      <c r="E695" s="17" t="str">
        <f ca="1">IFERROR(__xludf.DUMMYFUNCTION("""COMPUTED_VALUE"""),"")</f>
        <v/>
      </c>
      <c r="F695" s="17" t="str">
        <f ca="1">IFERROR(__xludf.DUMMYFUNCTION("""COMPUTED_VALUE"""),"")</f>
        <v/>
      </c>
      <c r="G695" s="17" t="str">
        <f ca="1">IFERROR(__xludf.DUMMYFUNCTION("""COMPUTED_VALUE"""),"")</f>
        <v/>
      </c>
      <c r="H695" s="17" t="str">
        <v/>
      </c>
    </row>
    <row r="696" spans="5:8" ht="13.2">
      <c r="E696" s="17" t="str">
        <f ca="1">IFERROR(__xludf.DUMMYFUNCTION("""COMPUTED_VALUE"""),"")</f>
        <v/>
      </c>
      <c r="F696" s="17" t="str">
        <f ca="1">IFERROR(__xludf.DUMMYFUNCTION("""COMPUTED_VALUE"""),"")</f>
        <v/>
      </c>
      <c r="G696" s="17" t="str">
        <f ca="1">IFERROR(__xludf.DUMMYFUNCTION("""COMPUTED_VALUE"""),"")</f>
        <v/>
      </c>
      <c r="H696" s="17" t="str">
        <v/>
      </c>
    </row>
    <row r="697" spans="5:8" ht="13.2">
      <c r="E697" s="17" t="str">
        <f ca="1">IFERROR(__xludf.DUMMYFUNCTION("""COMPUTED_VALUE"""),"")</f>
        <v/>
      </c>
      <c r="F697" s="17" t="str">
        <f ca="1">IFERROR(__xludf.DUMMYFUNCTION("""COMPUTED_VALUE"""),"")</f>
        <v/>
      </c>
      <c r="G697" s="17" t="str">
        <f ca="1">IFERROR(__xludf.DUMMYFUNCTION("""COMPUTED_VALUE"""),"")</f>
        <v/>
      </c>
      <c r="H697" s="17" t="str">
        <v/>
      </c>
    </row>
    <row r="698" spans="5:8" ht="13.2">
      <c r="E698" s="17" t="str">
        <f ca="1">IFERROR(__xludf.DUMMYFUNCTION("""COMPUTED_VALUE"""),"")</f>
        <v/>
      </c>
      <c r="F698" s="17" t="str">
        <f ca="1">IFERROR(__xludf.DUMMYFUNCTION("""COMPUTED_VALUE"""),"")</f>
        <v/>
      </c>
      <c r="G698" s="17" t="str">
        <f ca="1">IFERROR(__xludf.DUMMYFUNCTION("""COMPUTED_VALUE"""),"")</f>
        <v/>
      </c>
      <c r="H698" s="17" t="str">
        <v/>
      </c>
    </row>
    <row r="699" spans="5:8" ht="13.2">
      <c r="E699" s="17" t="str">
        <f ca="1">IFERROR(__xludf.DUMMYFUNCTION("""COMPUTED_VALUE"""),"")</f>
        <v/>
      </c>
      <c r="F699" s="17" t="str">
        <f ca="1">IFERROR(__xludf.DUMMYFUNCTION("""COMPUTED_VALUE"""),"")</f>
        <v/>
      </c>
      <c r="G699" s="17" t="str">
        <f ca="1">IFERROR(__xludf.DUMMYFUNCTION("""COMPUTED_VALUE"""),"")</f>
        <v/>
      </c>
      <c r="H699" s="17" t="str">
        <v/>
      </c>
    </row>
    <row r="700" spans="5:8" ht="13.2">
      <c r="E700" s="17" t="str">
        <f ca="1">IFERROR(__xludf.DUMMYFUNCTION("""COMPUTED_VALUE"""),"")</f>
        <v/>
      </c>
      <c r="F700" s="17" t="str">
        <f ca="1">IFERROR(__xludf.DUMMYFUNCTION("""COMPUTED_VALUE"""),"")</f>
        <v/>
      </c>
      <c r="G700" s="17" t="str">
        <f ca="1">IFERROR(__xludf.DUMMYFUNCTION("""COMPUTED_VALUE"""),"")</f>
        <v/>
      </c>
      <c r="H700" s="17" t="str">
        <v/>
      </c>
    </row>
    <row r="701" spans="5:8" ht="13.2">
      <c r="E701" s="17" t="str">
        <f ca="1">IFERROR(__xludf.DUMMYFUNCTION("""COMPUTED_VALUE"""),"")</f>
        <v/>
      </c>
      <c r="F701" s="17" t="str">
        <f ca="1">IFERROR(__xludf.DUMMYFUNCTION("""COMPUTED_VALUE"""),"")</f>
        <v/>
      </c>
      <c r="G701" s="17" t="str">
        <f ca="1">IFERROR(__xludf.DUMMYFUNCTION("""COMPUTED_VALUE"""),"")</f>
        <v/>
      </c>
      <c r="H701" s="17" t="str">
        <v/>
      </c>
    </row>
    <row r="702" spans="5:8" ht="13.2">
      <c r="E702" s="17" t="str">
        <f ca="1">IFERROR(__xludf.DUMMYFUNCTION("""COMPUTED_VALUE"""),"")</f>
        <v/>
      </c>
      <c r="F702" s="17" t="str">
        <f ca="1">IFERROR(__xludf.DUMMYFUNCTION("""COMPUTED_VALUE"""),"")</f>
        <v/>
      </c>
      <c r="G702" s="17" t="str">
        <f ca="1">IFERROR(__xludf.DUMMYFUNCTION("""COMPUTED_VALUE"""),"")</f>
        <v/>
      </c>
      <c r="H702" s="17" t="str">
        <v/>
      </c>
    </row>
    <row r="703" spans="5:8" ht="13.2">
      <c r="E703" s="17" t="str">
        <f ca="1">IFERROR(__xludf.DUMMYFUNCTION("""COMPUTED_VALUE"""),"")</f>
        <v/>
      </c>
      <c r="F703" s="17" t="str">
        <f ca="1">IFERROR(__xludf.DUMMYFUNCTION("""COMPUTED_VALUE"""),"")</f>
        <v/>
      </c>
      <c r="G703" s="17" t="str">
        <f ca="1">IFERROR(__xludf.DUMMYFUNCTION("""COMPUTED_VALUE"""),"")</f>
        <v/>
      </c>
      <c r="H703" s="17" t="str">
        <v/>
      </c>
    </row>
    <row r="704" spans="5:8" ht="13.2">
      <c r="E704" s="17" t="str">
        <f ca="1">IFERROR(__xludf.DUMMYFUNCTION("""COMPUTED_VALUE"""),"")</f>
        <v/>
      </c>
      <c r="F704" s="17" t="str">
        <f ca="1">IFERROR(__xludf.DUMMYFUNCTION("""COMPUTED_VALUE"""),"")</f>
        <v/>
      </c>
      <c r="G704" s="17" t="str">
        <f ca="1">IFERROR(__xludf.DUMMYFUNCTION("""COMPUTED_VALUE"""),"")</f>
        <v/>
      </c>
      <c r="H704" s="17" t="str">
        <v/>
      </c>
    </row>
    <row r="705" spans="5:8" ht="13.2">
      <c r="E705" s="17" t="str">
        <f ca="1">IFERROR(__xludf.DUMMYFUNCTION("""COMPUTED_VALUE"""),"")</f>
        <v/>
      </c>
      <c r="F705" s="17" t="str">
        <f ca="1">IFERROR(__xludf.DUMMYFUNCTION("""COMPUTED_VALUE"""),"")</f>
        <v/>
      </c>
      <c r="G705" s="17" t="str">
        <f ca="1">IFERROR(__xludf.DUMMYFUNCTION("""COMPUTED_VALUE"""),"")</f>
        <v/>
      </c>
      <c r="H705" s="17" t="str">
        <v/>
      </c>
    </row>
    <row r="706" spans="5:8" ht="13.2">
      <c r="E706" s="17" t="str">
        <f ca="1">IFERROR(__xludf.DUMMYFUNCTION("""COMPUTED_VALUE"""),"")</f>
        <v/>
      </c>
      <c r="F706" s="17" t="str">
        <f ca="1">IFERROR(__xludf.DUMMYFUNCTION("""COMPUTED_VALUE"""),"")</f>
        <v/>
      </c>
      <c r="G706" s="17" t="str">
        <f ca="1">IFERROR(__xludf.DUMMYFUNCTION("""COMPUTED_VALUE"""),"")</f>
        <v/>
      </c>
      <c r="H706" s="17" t="str">
        <v/>
      </c>
    </row>
    <row r="707" spans="5:8" ht="13.2">
      <c r="E707" s="17" t="str">
        <f ca="1">IFERROR(__xludf.DUMMYFUNCTION("""COMPUTED_VALUE"""),"")</f>
        <v/>
      </c>
      <c r="F707" s="17" t="str">
        <f ca="1">IFERROR(__xludf.DUMMYFUNCTION("""COMPUTED_VALUE"""),"")</f>
        <v/>
      </c>
      <c r="G707" s="17" t="str">
        <f ca="1">IFERROR(__xludf.DUMMYFUNCTION("""COMPUTED_VALUE"""),"")</f>
        <v/>
      </c>
      <c r="H707" s="17" t="str">
        <v/>
      </c>
    </row>
    <row r="708" spans="5:8" ht="13.2">
      <c r="E708" s="17" t="str">
        <f ca="1">IFERROR(__xludf.DUMMYFUNCTION("""COMPUTED_VALUE"""),"")</f>
        <v/>
      </c>
      <c r="F708" s="17" t="str">
        <f ca="1">IFERROR(__xludf.DUMMYFUNCTION("""COMPUTED_VALUE"""),"")</f>
        <v/>
      </c>
      <c r="G708" s="17" t="str">
        <f ca="1">IFERROR(__xludf.DUMMYFUNCTION("""COMPUTED_VALUE"""),"")</f>
        <v/>
      </c>
      <c r="H708" s="17" t="str">
        <v/>
      </c>
    </row>
    <row r="709" spans="5:8" ht="13.2">
      <c r="E709" s="17" t="str">
        <f ca="1">IFERROR(__xludf.DUMMYFUNCTION("""COMPUTED_VALUE"""),"")</f>
        <v/>
      </c>
      <c r="F709" s="17" t="str">
        <f ca="1">IFERROR(__xludf.DUMMYFUNCTION("""COMPUTED_VALUE"""),"")</f>
        <v/>
      </c>
      <c r="G709" s="17" t="str">
        <f ca="1">IFERROR(__xludf.DUMMYFUNCTION("""COMPUTED_VALUE"""),"")</f>
        <v/>
      </c>
      <c r="H709" s="17" t="str">
        <v/>
      </c>
    </row>
    <row r="710" spans="5:8" ht="13.2">
      <c r="E710" s="17" t="str">
        <f ca="1">IFERROR(__xludf.DUMMYFUNCTION("""COMPUTED_VALUE"""),"")</f>
        <v/>
      </c>
      <c r="F710" s="17" t="str">
        <f ca="1">IFERROR(__xludf.DUMMYFUNCTION("""COMPUTED_VALUE"""),"")</f>
        <v/>
      </c>
      <c r="G710" s="17" t="str">
        <f ca="1">IFERROR(__xludf.DUMMYFUNCTION("""COMPUTED_VALUE"""),"")</f>
        <v/>
      </c>
      <c r="H710" s="17" t="str">
        <v/>
      </c>
    </row>
    <row r="711" spans="5:8" ht="13.2">
      <c r="E711" s="17" t="str">
        <f ca="1">IFERROR(__xludf.DUMMYFUNCTION("""COMPUTED_VALUE"""),"")</f>
        <v/>
      </c>
      <c r="F711" s="17" t="str">
        <f ca="1">IFERROR(__xludf.DUMMYFUNCTION("""COMPUTED_VALUE"""),"")</f>
        <v/>
      </c>
      <c r="G711" s="17" t="str">
        <f ca="1">IFERROR(__xludf.DUMMYFUNCTION("""COMPUTED_VALUE"""),"")</f>
        <v/>
      </c>
      <c r="H711" s="17" t="str">
        <v/>
      </c>
    </row>
    <row r="712" spans="5:8" ht="13.2">
      <c r="E712" s="17" t="str">
        <f ca="1">IFERROR(__xludf.DUMMYFUNCTION("""COMPUTED_VALUE"""),"")</f>
        <v/>
      </c>
      <c r="F712" s="17" t="str">
        <f ca="1">IFERROR(__xludf.DUMMYFUNCTION("""COMPUTED_VALUE"""),"")</f>
        <v/>
      </c>
      <c r="G712" s="17" t="str">
        <f ca="1">IFERROR(__xludf.DUMMYFUNCTION("""COMPUTED_VALUE"""),"")</f>
        <v/>
      </c>
      <c r="H712" s="17" t="str">
        <v/>
      </c>
    </row>
    <row r="713" spans="5:8" ht="13.2">
      <c r="E713" s="17" t="str">
        <f ca="1">IFERROR(__xludf.DUMMYFUNCTION("""COMPUTED_VALUE"""),"")</f>
        <v/>
      </c>
      <c r="F713" s="17" t="str">
        <f ca="1">IFERROR(__xludf.DUMMYFUNCTION("""COMPUTED_VALUE"""),"")</f>
        <v/>
      </c>
      <c r="G713" s="17" t="str">
        <f ca="1">IFERROR(__xludf.DUMMYFUNCTION("""COMPUTED_VALUE"""),"")</f>
        <v/>
      </c>
      <c r="H713" s="17" t="str">
        <v/>
      </c>
    </row>
    <row r="714" spans="5:8" ht="13.2">
      <c r="E714" s="17" t="str">
        <f ca="1">IFERROR(__xludf.DUMMYFUNCTION("""COMPUTED_VALUE"""),"")</f>
        <v/>
      </c>
      <c r="F714" s="17" t="str">
        <f ca="1">IFERROR(__xludf.DUMMYFUNCTION("""COMPUTED_VALUE"""),"")</f>
        <v/>
      </c>
      <c r="G714" s="17" t="str">
        <f ca="1">IFERROR(__xludf.DUMMYFUNCTION("""COMPUTED_VALUE"""),"")</f>
        <v/>
      </c>
      <c r="H714" s="17" t="str">
        <v/>
      </c>
    </row>
    <row r="715" spans="5:8" ht="13.2">
      <c r="E715" s="17" t="str">
        <f ca="1">IFERROR(__xludf.DUMMYFUNCTION("""COMPUTED_VALUE"""),"")</f>
        <v/>
      </c>
      <c r="F715" s="17" t="str">
        <f ca="1">IFERROR(__xludf.DUMMYFUNCTION("""COMPUTED_VALUE"""),"")</f>
        <v/>
      </c>
      <c r="G715" s="17" t="str">
        <f ca="1">IFERROR(__xludf.DUMMYFUNCTION("""COMPUTED_VALUE"""),"")</f>
        <v/>
      </c>
      <c r="H715" s="17" t="str">
        <v/>
      </c>
    </row>
    <row r="716" spans="5:8" ht="13.2">
      <c r="E716" s="17" t="str">
        <f ca="1">IFERROR(__xludf.DUMMYFUNCTION("""COMPUTED_VALUE"""),"")</f>
        <v/>
      </c>
      <c r="F716" s="17" t="str">
        <f ca="1">IFERROR(__xludf.DUMMYFUNCTION("""COMPUTED_VALUE"""),"")</f>
        <v/>
      </c>
      <c r="G716" s="17" t="str">
        <f ca="1">IFERROR(__xludf.DUMMYFUNCTION("""COMPUTED_VALUE"""),"")</f>
        <v/>
      </c>
      <c r="H716" s="17" t="str">
        <v/>
      </c>
    </row>
    <row r="717" spans="5:8" ht="13.2">
      <c r="E717" s="17" t="str">
        <f ca="1">IFERROR(__xludf.DUMMYFUNCTION("""COMPUTED_VALUE"""),"")</f>
        <v/>
      </c>
      <c r="F717" s="17" t="str">
        <f ca="1">IFERROR(__xludf.DUMMYFUNCTION("""COMPUTED_VALUE"""),"")</f>
        <v/>
      </c>
      <c r="G717" s="17" t="str">
        <f ca="1">IFERROR(__xludf.DUMMYFUNCTION("""COMPUTED_VALUE"""),"")</f>
        <v/>
      </c>
      <c r="H717" s="17" t="str">
        <v/>
      </c>
    </row>
    <row r="718" spans="5:8" ht="13.2">
      <c r="E718" s="17" t="str">
        <f ca="1">IFERROR(__xludf.DUMMYFUNCTION("""COMPUTED_VALUE"""),"")</f>
        <v/>
      </c>
      <c r="F718" s="17" t="str">
        <f ca="1">IFERROR(__xludf.DUMMYFUNCTION("""COMPUTED_VALUE"""),"")</f>
        <v/>
      </c>
      <c r="G718" s="17" t="str">
        <f ca="1">IFERROR(__xludf.DUMMYFUNCTION("""COMPUTED_VALUE"""),"")</f>
        <v/>
      </c>
      <c r="H718" s="17" t="str">
        <v/>
      </c>
    </row>
    <row r="719" spans="5:8" ht="13.2">
      <c r="E719" s="17" t="str">
        <f ca="1">IFERROR(__xludf.DUMMYFUNCTION("""COMPUTED_VALUE"""),"")</f>
        <v/>
      </c>
      <c r="F719" s="17" t="str">
        <f ca="1">IFERROR(__xludf.DUMMYFUNCTION("""COMPUTED_VALUE"""),"")</f>
        <v/>
      </c>
      <c r="G719" s="17" t="str">
        <f ca="1">IFERROR(__xludf.DUMMYFUNCTION("""COMPUTED_VALUE"""),"")</f>
        <v/>
      </c>
      <c r="H719" s="17" t="str">
        <v/>
      </c>
    </row>
    <row r="720" spans="5:8" ht="13.2">
      <c r="E720" s="17" t="str">
        <f ca="1">IFERROR(__xludf.DUMMYFUNCTION("""COMPUTED_VALUE"""),"")</f>
        <v/>
      </c>
      <c r="F720" s="17" t="str">
        <f ca="1">IFERROR(__xludf.DUMMYFUNCTION("""COMPUTED_VALUE"""),"")</f>
        <v/>
      </c>
      <c r="G720" s="17" t="str">
        <f ca="1">IFERROR(__xludf.DUMMYFUNCTION("""COMPUTED_VALUE"""),"")</f>
        <v/>
      </c>
      <c r="H720" s="17" t="str">
        <v/>
      </c>
    </row>
    <row r="721" spans="5:8" ht="13.2">
      <c r="E721" s="17" t="str">
        <f ca="1">IFERROR(__xludf.DUMMYFUNCTION("""COMPUTED_VALUE"""),"")</f>
        <v/>
      </c>
      <c r="F721" s="17" t="str">
        <f ca="1">IFERROR(__xludf.DUMMYFUNCTION("""COMPUTED_VALUE"""),"")</f>
        <v/>
      </c>
      <c r="G721" s="17" t="str">
        <f ca="1">IFERROR(__xludf.DUMMYFUNCTION("""COMPUTED_VALUE"""),"")</f>
        <v/>
      </c>
      <c r="H721" s="17" t="str">
        <v/>
      </c>
    </row>
    <row r="722" spans="5:8" ht="13.2">
      <c r="E722" s="17" t="str">
        <f ca="1">IFERROR(__xludf.DUMMYFUNCTION("""COMPUTED_VALUE"""),"")</f>
        <v/>
      </c>
      <c r="F722" s="17" t="str">
        <f ca="1">IFERROR(__xludf.DUMMYFUNCTION("""COMPUTED_VALUE"""),"")</f>
        <v/>
      </c>
      <c r="G722" s="17" t="str">
        <f ca="1">IFERROR(__xludf.DUMMYFUNCTION("""COMPUTED_VALUE"""),"")</f>
        <v/>
      </c>
      <c r="H722" s="17" t="str">
        <v/>
      </c>
    </row>
    <row r="723" spans="5:8" ht="13.2">
      <c r="E723" s="17" t="str">
        <f ca="1">IFERROR(__xludf.DUMMYFUNCTION("""COMPUTED_VALUE"""),"")</f>
        <v/>
      </c>
      <c r="F723" s="17" t="str">
        <f ca="1">IFERROR(__xludf.DUMMYFUNCTION("""COMPUTED_VALUE"""),"")</f>
        <v/>
      </c>
      <c r="G723" s="17" t="str">
        <f ca="1">IFERROR(__xludf.DUMMYFUNCTION("""COMPUTED_VALUE"""),"")</f>
        <v/>
      </c>
      <c r="H723" s="17" t="str">
        <v/>
      </c>
    </row>
    <row r="724" spans="5:8" ht="13.2">
      <c r="E724" s="17" t="str">
        <f ca="1">IFERROR(__xludf.DUMMYFUNCTION("""COMPUTED_VALUE"""),"")</f>
        <v/>
      </c>
      <c r="F724" s="17" t="str">
        <f ca="1">IFERROR(__xludf.DUMMYFUNCTION("""COMPUTED_VALUE"""),"")</f>
        <v/>
      </c>
      <c r="G724" s="17" t="str">
        <f ca="1">IFERROR(__xludf.DUMMYFUNCTION("""COMPUTED_VALUE"""),"")</f>
        <v/>
      </c>
      <c r="H724" s="17" t="str">
        <v/>
      </c>
    </row>
    <row r="725" spans="5:8" ht="13.2">
      <c r="E725" s="17" t="str">
        <f ca="1">IFERROR(__xludf.DUMMYFUNCTION("""COMPUTED_VALUE"""),"")</f>
        <v/>
      </c>
      <c r="F725" s="17" t="str">
        <f ca="1">IFERROR(__xludf.DUMMYFUNCTION("""COMPUTED_VALUE"""),"")</f>
        <v/>
      </c>
      <c r="G725" s="17" t="str">
        <f ca="1">IFERROR(__xludf.DUMMYFUNCTION("""COMPUTED_VALUE"""),"")</f>
        <v/>
      </c>
      <c r="H725" s="17" t="str">
        <v/>
      </c>
    </row>
    <row r="726" spans="5:8" ht="13.2">
      <c r="E726" s="17" t="str">
        <f ca="1">IFERROR(__xludf.DUMMYFUNCTION("""COMPUTED_VALUE"""),"")</f>
        <v/>
      </c>
      <c r="F726" s="17" t="str">
        <f ca="1">IFERROR(__xludf.DUMMYFUNCTION("""COMPUTED_VALUE"""),"")</f>
        <v/>
      </c>
      <c r="G726" s="17" t="str">
        <f ca="1">IFERROR(__xludf.DUMMYFUNCTION("""COMPUTED_VALUE"""),"")</f>
        <v/>
      </c>
      <c r="H726" s="17" t="str">
        <v/>
      </c>
    </row>
    <row r="727" spans="5:8" ht="13.2">
      <c r="E727" s="17" t="str">
        <f ca="1">IFERROR(__xludf.DUMMYFUNCTION("""COMPUTED_VALUE"""),"")</f>
        <v/>
      </c>
      <c r="F727" s="17" t="str">
        <f ca="1">IFERROR(__xludf.DUMMYFUNCTION("""COMPUTED_VALUE"""),"")</f>
        <v/>
      </c>
      <c r="G727" s="17" t="str">
        <f ca="1">IFERROR(__xludf.DUMMYFUNCTION("""COMPUTED_VALUE"""),"")</f>
        <v/>
      </c>
      <c r="H727" s="17" t="str">
        <v/>
      </c>
    </row>
    <row r="728" spans="5:8" ht="13.2">
      <c r="E728" s="17" t="str">
        <f ca="1">IFERROR(__xludf.DUMMYFUNCTION("""COMPUTED_VALUE"""),"")</f>
        <v/>
      </c>
      <c r="F728" s="17" t="str">
        <f ca="1">IFERROR(__xludf.DUMMYFUNCTION("""COMPUTED_VALUE"""),"")</f>
        <v/>
      </c>
      <c r="G728" s="17" t="str">
        <f ca="1">IFERROR(__xludf.DUMMYFUNCTION("""COMPUTED_VALUE"""),"")</f>
        <v/>
      </c>
      <c r="H728" s="17" t="str">
        <v/>
      </c>
    </row>
    <row r="729" spans="5:8" ht="13.2">
      <c r="E729" s="17" t="str">
        <f ca="1">IFERROR(__xludf.DUMMYFUNCTION("""COMPUTED_VALUE"""),"")</f>
        <v/>
      </c>
      <c r="F729" s="17" t="str">
        <f ca="1">IFERROR(__xludf.DUMMYFUNCTION("""COMPUTED_VALUE"""),"")</f>
        <v/>
      </c>
      <c r="G729" s="17" t="str">
        <f ca="1">IFERROR(__xludf.DUMMYFUNCTION("""COMPUTED_VALUE"""),"")</f>
        <v/>
      </c>
      <c r="H729" s="17" t="str">
        <v/>
      </c>
    </row>
    <row r="730" spans="5:8" ht="13.2">
      <c r="E730" s="17" t="str">
        <f ca="1">IFERROR(__xludf.DUMMYFUNCTION("""COMPUTED_VALUE"""),"")</f>
        <v/>
      </c>
      <c r="F730" s="17" t="str">
        <f ca="1">IFERROR(__xludf.DUMMYFUNCTION("""COMPUTED_VALUE"""),"")</f>
        <v/>
      </c>
      <c r="G730" s="17" t="str">
        <f ca="1">IFERROR(__xludf.DUMMYFUNCTION("""COMPUTED_VALUE"""),"")</f>
        <v/>
      </c>
      <c r="H730" s="17" t="str">
        <v/>
      </c>
    </row>
    <row r="731" spans="5:8" ht="13.2">
      <c r="E731" s="17" t="str">
        <f ca="1">IFERROR(__xludf.DUMMYFUNCTION("""COMPUTED_VALUE"""),"")</f>
        <v/>
      </c>
      <c r="F731" s="17" t="str">
        <f ca="1">IFERROR(__xludf.DUMMYFUNCTION("""COMPUTED_VALUE"""),"")</f>
        <v/>
      </c>
      <c r="G731" s="17" t="str">
        <f ca="1">IFERROR(__xludf.DUMMYFUNCTION("""COMPUTED_VALUE"""),"")</f>
        <v/>
      </c>
      <c r="H731" s="17" t="str">
        <v/>
      </c>
    </row>
    <row r="732" spans="5:8" ht="13.2">
      <c r="E732" s="17" t="str">
        <f ca="1">IFERROR(__xludf.DUMMYFUNCTION("""COMPUTED_VALUE"""),"")</f>
        <v/>
      </c>
      <c r="F732" s="17" t="str">
        <f ca="1">IFERROR(__xludf.DUMMYFUNCTION("""COMPUTED_VALUE"""),"")</f>
        <v/>
      </c>
      <c r="G732" s="17" t="str">
        <f ca="1">IFERROR(__xludf.DUMMYFUNCTION("""COMPUTED_VALUE"""),"")</f>
        <v/>
      </c>
      <c r="H732" s="17" t="str">
        <v/>
      </c>
    </row>
    <row r="733" spans="5:8" ht="13.2">
      <c r="E733" s="17" t="str">
        <f ca="1">IFERROR(__xludf.DUMMYFUNCTION("""COMPUTED_VALUE"""),"")</f>
        <v/>
      </c>
      <c r="F733" s="17" t="str">
        <f ca="1">IFERROR(__xludf.DUMMYFUNCTION("""COMPUTED_VALUE"""),"")</f>
        <v/>
      </c>
      <c r="G733" s="17" t="str">
        <f ca="1">IFERROR(__xludf.DUMMYFUNCTION("""COMPUTED_VALUE"""),"")</f>
        <v/>
      </c>
      <c r="H733" s="17" t="str">
        <v/>
      </c>
    </row>
    <row r="734" spans="5:8" ht="13.2">
      <c r="E734" s="17" t="str">
        <f ca="1">IFERROR(__xludf.DUMMYFUNCTION("""COMPUTED_VALUE"""),"")</f>
        <v/>
      </c>
      <c r="F734" s="17" t="str">
        <f ca="1">IFERROR(__xludf.DUMMYFUNCTION("""COMPUTED_VALUE"""),"")</f>
        <v/>
      </c>
      <c r="G734" s="17" t="str">
        <f ca="1">IFERROR(__xludf.DUMMYFUNCTION("""COMPUTED_VALUE"""),"")</f>
        <v/>
      </c>
      <c r="H734" s="17" t="str">
        <v/>
      </c>
    </row>
    <row r="735" spans="5:8" ht="13.2">
      <c r="E735" s="17" t="str">
        <f ca="1">IFERROR(__xludf.DUMMYFUNCTION("""COMPUTED_VALUE"""),"")</f>
        <v/>
      </c>
      <c r="F735" s="17" t="str">
        <f ca="1">IFERROR(__xludf.DUMMYFUNCTION("""COMPUTED_VALUE"""),"")</f>
        <v/>
      </c>
      <c r="G735" s="17" t="str">
        <f ca="1">IFERROR(__xludf.DUMMYFUNCTION("""COMPUTED_VALUE"""),"")</f>
        <v/>
      </c>
      <c r="H735" s="17" t="str">
        <v/>
      </c>
    </row>
    <row r="736" spans="5:8" ht="13.2">
      <c r="E736" s="17" t="str">
        <f ca="1">IFERROR(__xludf.DUMMYFUNCTION("""COMPUTED_VALUE"""),"")</f>
        <v/>
      </c>
      <c r="F736" s="17" t="str">
        <f ca="1">IFERROR(__xludf.DUMMYFUNCTION("""COMPUTED_VALUE"""),"")</f>
        <v/>
      </c>
      <c r="G736" s="17" t="str">
        <f ca="1">IFERROR(__xludf.DUMMYFUNCTION("""COMPUTED_VALUE"""),"")</f>
        <v/>
      </c>
      <c r="H736" s="17" t="str">
        <v/>
      </c>
    </row>
    <row r="737" spans="5:8" ht="13.2">
      <c r="E737" s="17" t="str">
        <f ca="1">IFERROR(__xludf.DUMMYFUNCTION("""COMPUTED_VALUE"""),"")</f>
        <v/>
      </c>
      <c r="F737" s="17" t="str">
        <f ca="1">IFERROR(__xludf.DUMMYFUNCTION("""COMPUTED_VALUE"""),"")</f>
        <v/>
      </c>
      <c r="G737" s="17" t="str">
        <f ca="1">IFERROR(__xludf.DUMMYFUNCTION("""COMPUTED_VALUE"""),"")</f>
        <v/>
      </c>
      <c r="H737" s="17" t="str">
        <v/>
      </c>
    </row>
    <row r="738" spans="5:8" ht="13.2">
      <c r="E738" s="17" t="str">
        <f ca="1">IFERROR(__xludf.DUMMYFUNCTION("""COMPUTED_VALUE"""),"")</f>
        <v/>
      </c>
      <c r="F738" s="17" t="str">
        <f ca="1">IFERROR(__xludf.DUMMYFUNCTION("""COMPUTED_VALUE"""),"")</f>
        <v/>
      </c>
      <c r="G738" s="17" t="str">
        <f ca="1">IFERROR(__xludf.DUMMYFUNCTION("""COMPUTED_VALUE"""),"")</f>
        <v/>
      </c>
      <c r="H738" s="17" t="str">
        <v/>
      </c>
    </row>
    <row r="739" spans="5:8" ht="13.2">
      <c r="E739" s="17" t="str">
        <f ca="1">IFERROR(__xludf.DUMMYFUNCTION("""COMPUTED_VALUE"""),"")</f>
        <v/>
      </c>
      <c r="F739" s="17" t="str">
        <f ca="1">IFERROR(__xludf.DUMMYFUNCTION("""COMPUTED_VALUE"""),"")</f>
        <v/>
      </c>
      <c r="G739" s="17" t="str">
        <f ca="1">IFERROR(__xludf.DUMMYFUNCTION("""COMPUTED_VALUE"""),"")</f>
        <v/>
      </c>
      <c r="H739" s="17" t="str">
        <v/>
      </c>
    </row>
    <row r="740" spans="5:8" ht="13.2">
      <c r="E740" s="17" t="str">
        <f ca="1">IFERROR(__xludf.DUMMYFUNCTION("""COMPUTED_VALUE"""),"")</f>
        <v/>
      </c>
      <c r="F740" s="17" t="str">
        <f ca="1">IFERROR(__xludf.DUMMYFUNCTION("""COMPUTED_VALUE"""),"")</f>
        <v/>
      </c>
      <c r="G740" s="17" t="str">
        <f ca="1">IFERROR(__xludf.DUMMYFUNCTION("""COMPUTED_VALUE"""),"")</f>
        <v/>
      </c>
      <c r="H740" s="17" t="str">
        <v/>
      </c>
    </row>
    <row r="741" spans="5:8" ht="13.2">
      <c r="E741" s="17" t="str">
        <f ca="1">IFERROR(__xludf.DUMMYFUNCTION("""COMPUTED_VALUE"""),"")</f>
        <v/>
      </c>
      <c r="F741" s="17" t="str">
        <f ca="1">IFERROR(__xludf.DUMMYFUNCTION("""COMPUTED_VALUE"""),"")</f>
        <v/>
      </c>
      <c r="G741" s="17" t="str">
        <f ca="1">IFERROR(__xludf.DUMMYFUNCTION("""COMPUTED_VALUE"""),"")</f>
        <v/>
      </c>
      <c r="H741" s="17" t="str">
        <v/>
      </c>
    </row>
    <row r="742" spans="5:8" ht="13.2">
      <c r="E742" s="17" t="str">
        <f ca="1">IFERROR(__xludf.DUMMYFUNCTION("""COMPUTED_VALUE"""),"")</f>
        <v/>
      </c>
      <c r="F742" s="17" t="str">
        <f ca="1">IFERROR(__xludf.DUMMYFUNCTION("""COMPUTED_VALUE"""),"")</f>
        <v/>
      </c>
      <c r="G742" s="17" t="str">
        <f ca="1">IFERROR(__xludf.DUMMYFUNCTION("""COMPUTED_VALUE"""),"")</f>
        <v/>
      </c>
      <c r="H742" s="17" t="str">
        <v/>
      </c>
    </row>
    <row r="743" spans="5:8" ht="13.2">
      <c r="E743" s="17" t="str">
        <f ca="1">IFERROR(__xludf.DUMMYFUNCTION("""COMPUTED_VALUE"""),"")</f>
        <v/>
      </c>
      <c r="F743" s="17" t="str">
        <f ca="1">IFERROR(__xludf.DUMMYFUNCTION("""COMPUTED_VALUE"""),"")</f>
        <v/>
      </c>
      <c r="G743" s="17" t="str">
        <f ca="1">IFERROR(__xludf.DUMMYFUNCTION("""COMPUTED_VALUE"""),"")</f>
        <v/>
      </c>
      <c r="H743" s="17" t="str">
        <v/>
      </c>
    </row>
    <row r="744" spans="5:8" ht="13.2">
      <c r="E744" s="17" t="str">
        <f ca="1">IFERROR(__xludf.DUMMYFUNCTION("""COMPUTED_VALUE"""),"")</f>
        <v/>
      </c>
      <c r="F744" s="17" t="str">
        <f ca="1">IFERROR(__xludf.DUMMYFUNCTION("""COMPUTED_VALUE"""),"")</f>
        <v/>
      </c>
      <c r="G744" s="17" t="str">
        <f ca="1">IFERROR(__xludf.DUMMYFUNCTION("""COMPUTED_VALUE"""),"")</f>
        <v/>
      </c>
      <c r="H744" s="17" t="str">
        <v/>
      </c>
    </row>
    <row r="745" spans="5:8" ht="13.2">
      <c r="E745" s="17" t="str">
        <f ca="1">IFERROR(__xludf.DUMMYFUNCTION("""COMPUTED_VALUE"""),"")</f>
        <v/>
      </c>
      <c r="F745" s="17" t="str">
        <f ca="1">IFERROR(__xludf.DUMMYFUNCTION("""COMPUTED_VALUE"""),"")</f>
        <v/>
      </c>
      <c r="G745" s="17" t="str">
        <f ca="1">IFERROR(__xludf.DUMMYFUNCTION("""COMPUTED_VALUE"""),"")</f>
        <v/>
      </c>
      <c r="H745" s="17" t="str">
        <v/>
      </c>
    </row>
    <row r="746" spans="5:8" ht="13.2">
      <c r="E746" s="17" t="str">
        <f ca="1">IFERROR(__xludf.DUMMYFUNCTION("""COMPUTED_VALUE"""),"")</f>
        <v/>
      </c>
      <c r="F746" s="17" t="str">
        <f ca="1">IFERROR(__xludf.DUMMYFUNCTION("""COMPUTED_VALUE"""),"")</f>
        <v/>
      </c>
      <c r="G746" s="17" t="str">
        <f ca="1">IFERROR(__xludf.DUMMYFUNCTION("""COMPUTED_VALUE"""),"")</f>
        <v/>
      </c>
      <c r="H746" s="17" t="str">
        <v/>
      </c>
    </row>
    <row r="747" spans="5:8" ht="13.2">
      <c r="E747" s="17" t="str">
        <f ca="1">IFERROR(__xludf.DUMMYFUNCTION("""COMPUTED_VALUE"""),"")</f>
        <v/>
      </c>
      <c r="F747" s="17" t="str">
        <f ca="1">IFERROR(__xludf.DUMMYFUNCTION("""COMPUTED_VALUE"""),"")</f>
        <v/>
      </c>
      <c r="G747" s="17" t="str">
        <f ca="1">IFERROR(__xludf.DUMMYFUNCTION("""COMPUTED_VALUE"""),"")</f>
        <v/>
      </c>
      <c r="H747" s="17" t="str">
        <v/>
      </c>
    </row>
    <row r="748" spans="5:8" ht="13.2">
      <c r="E748" s="17" t="str">
        <f ca="1">IFERROR(__xludf.DUMMYFUNCTION("""COMPUTED_VALUE"""),"")</f>
        <v/>
      </c>
      <c r="F748" s="17" t="str">
        <f ca="1">IFERROR(__xludf.DUMMYFUNCTION("""COMPUTED_VALUE"""),"")</f>
        <v/>
      </c>
      <c r="G748" s="17" t="str">
        <f ca="1">IFERROR(__xludf.DUMMYFUNCTION("""COMPUTED_VALUE"""),"")</f>
        <v/>
      </c>
      <c r="H748" s="17" t="str">
        <v/>
      </c>
    </row>
    <row r="749" spans="5:8" ht="13.2">
      <c r="E749" s="17" t="str">
        <f ca="1">IFERROR(__xludf.DUMMYFUNCTION("""COMPUTED_VALUE"""),"")</f>
        <v/>
      </c>
      <c r="F749" s="17" t="str">
        <f ca="1">IFERROR(__xludf.DUMMYFUNCTION("""COMPUTED_VALUE"""),"")</f>
        <v/>
      </c>
      <c r="G749" s="17" t="str">
        <f ca="1">IFERROR(__xludf.DUMMYFUNCTION("""COMPUTED_VALUE"""),"")</f>
        <v/>
      </c>
      <c r="H749" s="17" t="str">
        <v/>
      </c>
    </row>
    <row r="750" spans="5:8" ht="13.2">
      <c r="E750" s="17" t="str">
        <f ca="1">IFERROR(__xludf.DUMMYFUNCTION("""COMPUTED_VALUE"""),"")</f>
        <v/>
      </c>
      <c r="F750" s="17" t="str">
        <f ca="1">IFERROR(__xludf.DUMMYFUNCTION("""COMPUTED_VALUE"""),"")</f>
        <v/>
      </c>
      <c r="G750" s="17" t="str">
        <f ca="1">IFERROR(__xludf.DUMMYFUNCTION("""COMPUTED_VALUE"""),"")</f>
        <v/>
      </c>
      <c r="H750" s="17" t="str">
        <v/>
      </c>
    </row>
    <row r="751" spans="5:8" ht="13.2">
      <c r="E751" s="17" t="str">
        <f ca="1">IFERROR(__xludf.DUMMYFUNCTION("""COMPUTED_VALUE"""),"")</f>
        <v/>
      </c>
      <c r="F751" s="17" t="str">
        <f ca="1">IFERROR(__xludf.DUMMYFUNCTION("""COMPUTED_VALUE"""),"")</f>
        <v/>
      </c>
      <c r="G751" s="17" t="str">
        <f ca="1">IFERROR(__xludf.DUMMYFUNCTION("""COMPUTED_VALUE"""),"")</f>
        <v/>
      </c>
      <c r="H751" s="17" t="str">
        <v/>
      </c>
    </row>
    <row r="752" spans="5:8" ht="13.2">
      <c r="E752" s="17" t="str">
        <f ca="1">IFERROR(__xludf.DUMMYFUNCTION("""COMPUTED_VALUE"""),"")</f>
        <v/>
      </c>
      <c r="F752" s="17" t="str">
        <f ca="1">IFERROR(__xludf.DUMMYFUNCTION("""COMPUTED_VALUE"""),"")</f>
        <v/>
      </c>
      <c r="G752" s="17" t="str">
        <f ca="1">IFERROR(__xludf.DUMMYFUNCTION("""COMPUTED_VALUE"""),"")</f>
        <v/>
      </c>
      <c r="H752" s="17" t="str">
        <v/>
      </c>
    </row>
    <row r="753" spans="5:8" ht="13.2">
      <c r="E753" s="17" t="str">
        <f ca="1">IFERROR(__xludf.DUMMYFUNCTION("""COMPUTED_VALUE"""),"")</f>
        <v/>
      </c>
      <c r="F753" s="17" t="str">
        <f ca="1">IFERROR(__xludf.DUMMYFUNCTION("""COMPUTED_VALUE"""),"")</f>
        <v/>
      </c>
      <c r="G753" s="17" t="str">
        <f ca="1">IFERROR(__xludf.DUMMYFUNCTION("""COMPUTED_VALUE"""),"")</f>
        <v/>
      </c>
      <c r="H753" s="17" t="str">
        <v/>
      </c>
    </row>
    <row r="754" spans="5:8" ht="13.2">
      <c r="E754" s="17" t="str">
        <f ca="1">IFERROR(__xludf.DUMMYFUNCTION("""COMPUTED_VALUE"""),"")</f>
        <v/>
      </c>
      <c r="F754" s="17" t="str">
        <f ca="1">IFERROR(__xludf.DUMMYFUNCTION("""COMPUTED_VALUE"""),"")</f>
        <v/>
      </c>
      <c r="G754" s="17" t="str">
        <f ca="1">IFERROR(__xludf.DUMMYFUNCTION("""COMPUTED_VALUE"""),"")</f>
        <v/>
      </c>
      <c r="H754" s="17" t="str">
        <v/>
      </c>
    </row>
    <row r="755" spans="5:8" ht="13.2">
      <c r="E755" s="17" t="str">
        <f ca="1">IFERROR(__xludf.DUMMYFUNCTION("""COMPUTED_VALUE"""),"")</f>
        <v/>
      </c>
      <c r="F755" s="17" t="str">
        <f ca="1">IFERROR(__xludf.DUMMYFUNCTION("""COMPUTED_VALUE"""),"")</f>
        <v/>
      </c>
      <c r="G755" s="17" t="str">
        <f ca="1">IFERROR(__xludf.DUMMYFUNCTION("""COMPUTED_VALUE"""),"")</f>
        <v/>
      </c>
      <c r="H755" s="17" t="str">
        <v/>
      </c>
    </row>
    <row r="756" spans="5:8" ht="13.2">
      <c r="E756" s="17" t="str">
        <f ca="1">IFERROR(__xludf.DUMMYFUNCTION("""COMPUTED_VALUE"""),"")</f>
        <v/>
      </c>
      <c r="F756" s="17" t="str">
        <f ca="1">IFERROR(__xludf.DUMMYFUNCTION("""COMPUTED_VALUE"""),"")</f>
        <v/>
      </c>
      <c r="G756" s="17" t="str">
        <f ca="1">IFERROR(__xludf.DUMMYFUNCTION("""COMPUTED_VALUE"""),"")</f>
        <v/>
      </c>
      <c r="H756" s="17" t="str">
        <v/>
      </c>
    </row>
    <row r="757" spans="5:8" ht="13.2">
      <c r="E757" s="17" t="str">
        <f ca="1">IFERROR(__xludf.DUMMYFUNCTION("""COMPUTED_VALUE"""),"")</f>
        <v/>
      </c>
      <c r="F757" s="17" t="str">
        <f ca="1">IFERROR(__xludf.DUMMYFUNCTION("""COMPUTED_VALUE"""),"")</f>
        <v/>
      </c>
      <c r="G757" s="17" t="str">
        <f ca="1">IFERROR(__xludf.DUMMYFUNCTION("""COMPUTED_VALUE"""),"")</f>
        <v/>
      </c>
      <c r="H757" s="17" t="str">
        <v/>
      </c>
    </row>
    <row r="758" spans="5:8" ht="13.2">
      <c r="E758" s="17" t="str">
        <f ca="1">IFERROR(__xludf.DUMMYFUNCTION("""COMPUTED_VALUE"""),"")</f>
        <v/>
      </c>
      <c r="F758" s="17" t="str">
        <f ca="1">IFERROR(__xludf.DUMMYFUNCTION("""COMPUTED_VALUE"""),"")</f>
        <v/>
      </c>
      <c r="G758" s="17" t="str">
        <f ca="1">IFERROR(__xludf.DUMMYFUNCTION("""COMPUTED_VALUE"""),"")</f>
        <v/>
      </c>
      <c r="H758" s="17" t="str">
        <v/>
      </c>
    </row>
    <row r="759" spans="5:8" ht="13.2">
      <c r="E759" s="17" t="str">
        <f ca="1">IFERROR(__xludf.DUMMYFUNCTION("""COMPUTED_VALUE"""),"")</f>
        <v/>
      </c>
      <c r="F759" s="17" t="str">
        <f ca="1">IFERROR(__xludf.DUMMYFUNCTION("""COMPUTED_VALUE"""),"")</f>
        <v/>
      </c>
      <c r="G759" s="17" t="str">
        <f ca="1">IFERROR(__xludf.DUMMYFUNCTION("""COMPUTED_VALUE"""),"")</f>
        <v/>
      </c>
      <c r="H759" s="17" t="str">
        <v/>
      </c>
    </row>
    <row r="760" spans="5:8" ht="13.2">
      <c r="E760" s="17" t="str">
        <f ca="1">IFERROR(__xludf.DUMMYFUNCTION("""COMPUTED_VALUE"""),"")</f>
        <v/>
      </c>
      <c r="F760" s="17" t="str">
        <f ca="1">IFERROR(__xludf.DUMMYFUNCTION("""COMPUTED_VALUE"""),"")</f>
        <v/>
      </c>
      <c r="G760" s="17" t="str">
        <f ca="1">IFERROR(__xludf.DUMMYFUNCTION("""COMPUTED_VALUE"""),"")</f>
        <v/>
      </c>
      <c r="H760" s="17" t="str">
        <v/>
      </c>
    </row>
    <row r="761" spans="5:8" ht="13.2">
      <c r="E761" s="17" t="str">
        <f ca="1">IFERROR(__xludf.DUMMYFUNCTION("""COMPUTED_VALUE"""),"")</f>
        <v/>
      </c>
      <c r="F761" s="17" t="str">
        <f ca="1">IFERROR(__xludf.DUMMYFUNCTION("""COMPUTED_VALUE"""),"")</f>
        <v/>
      </c>
      <c r="G761" s="17" t="str">
        <f ca="1">IFERROR(__xludf.DUMMYFUNCTION("""COMPUTED_VALUE"""),"")</f>
        <v/>
      </c>
      <c r="H761" s="17" t="str">
        <v/>
      </c>
    </row>
    <row r="762" spans="5:8" ht="13.2">
      <c r="E762" s="17" t="str">
        <f ca="1">IFERROR(__xludf.DUMMYFUNCTION("""COMPUTED_VALUE"""),"")</f>
        <v/>
      </c>
      <c r="F762" s="17" t="str">
        <f ca="1">IFERROR(__xludf.DUMMYFUNCTION("""COMPUTED_VALUE"""),"")</f>
        <v/>
      </c>
      <c r="G762" s="17" t="str">
        <f ca="1">IFERROR(__xludf.DUMMYFUNCTION("""COMPUTED_VALUE"""),"")</f>
        <v/>
      </c>
      <c r="H762" s="17" t="str">
        <v/>
      </c>
    </row>
    <row r="763" spans="5:8" ht="13.2">
      <c r="E763" s="17" t="str">
        <f ca="1">IFERROR(__xludf.DUMMYFUNCTION("""COMPUTED_VALUE"""),"")</f>
        <v/>
      </c>
      <c r="F763" s="17" t="str">
        <f ca="1">IFERROR(__xludf.DUMMYFUNCTION("""COMPUTED_VALUE"""),"")</f>
        <v/>
      </c>
      <c r="G763" s="17" t="str">
        <f ca="1">IFERROR(__xludf.DUMMYFUNCTION("""COMPUTED_VALUE"""),"")</f>
        <v/>
      </c>
      <c r="H763" s="17" t="str">
        <v/>
      </c>
    </row>
    <row r="764" spans="5:8" ht="13.2">
      <c r="E764" s="17" t="str">
        <f ca="1">IFERROR(__xludf.DUMMYFUNCTION("""COMPUTED_VALUE"""),"")</f>
        <v/>
      </c>
      <c r="F764" s="17" t="str">
        <f ca="1">IFERROR(__xludf.DUMMYFUNCTION("""COMPUTED_VALUE"""),"")</f>
        <v/>
      </c>
      <c r="G764" s="17" t="str">
        <f ca="1">IFERROR(__xludf.DUMMYFUNCTION("""COMPUTED_VALUE"""),"")</f>
        <v/>
      </c>
      <c r="H764" s="17" t="str">
        <v/>
      </c>
    </row>
    <row r="765" spans="5:8" ht="13.2">
      <c r="E765" s="17" t="str">
        <f ca="1">IFERROR(__xludf.DUMMYFUNCTION("""COMPUTED_VALUE"""),"")</f>
        <v/>
      </c>
      <c r="F765" s="17" t="str">
        <f ca="1">IFERROR(__xludf.DUMMYFUNCTION("""COMPUTED_VALUE"""),"")</f>
        <v/>
      </c>
      <c r="G765" s="17" t="str">
        <f ca="1">IFERROR(__xludf.DUMMYFUNCTION("""COMPUTED_VALUE"""),"")</f>
        <v/>
      </c>
      <c r="H765" s="17" t="str">
        <v/>
      </c>
    </row>
    <row r="766" spans="5:8" ht="13.2">
      <c r="E766" s="17" t="str">
        <f ca="1">IFERROR(__xludf.DUMMYFUNCTION("""COMPUTED_VALUE"""),"")</f>
        <v/>
      </c>
      <c r="F766" s="17" t="str">
        <f ca="1">IFERROR(__xludf.DUMMYFUNCTION("""COMPUTED_VALUE"""),"")</f>
        <v/>
      </c>
      <c r="G766" s="17" t="str">
        <f ca="1">IFERROR(__xludf.DUMMYFUNCTION("""COMPUTED_VALUE"""),"")</f>
        <v/>
      </c>
      <c r="H766" s="17" t="str">
        <v/>
      </c>
    </row>
    <row r="767" spans="5:8" ht="13.2">
      <c r="E767" s="17" t="str">
        <f ca="1">IFERROR(__xludf.DUMMYFUNCTION("""COMPUTED_VALUE"""),"")</f>
        <v/>
      </c>
      <c r="F767" s="17" t="str">
        <f ca="1">IFERROR(__xludf.DUMMYFUNCTION("""COMPUTED_VALUE"""),"")</f>
        <v/>
      </c>
      <c r="G767" s="17" t="str">
        <f ca="1">IFERROR(__xludf.DUMMYFUNCTION("""COMPUTED_VALUE"""),"")</f>
        <v/>
      </c>
      <c r="H767" s="17" t="str">
        <v/>
      </c>
    </row>
    <row r="768" spans="5:8" ht="13.2">
      <c r="E768" s="17" t="str">
        <f ca="1">IFERROR(__xludf.DUMMYFUNCTION("""COMPUTED_VALUE"""),"")</f>
        <v/>
      </c>
      <c r="F768" s="17" t="str">
        <f ca="1">IFERROR(__xludf.DUMMYFUNCTION("""COMPUTED_VALUE"""),"")</f>
        <v/>
      </c>
      <c r="G768" s="17" t="str">
        <f ca="1">IFERROR(__xludf.DUMMYFUNCTION("""COMPUTED_VALUE"""),"")</f>
        <v/>
      </c>
      <c r="H768" s="17" t="str">
        <v/>
      </c>
    </row>
    <row r="769" spans="5:8" ht="13.2">
      <c r="E769" s="17" t="str">
        <f ca="1">IFERROR(__xludf.DUMMYFUNCTION("""COMPUTED_VALUE"""),"")</f>
        <v/>
      </c>
      <c r="F769" s="17" t="str">
        <f ca="1">IFERROR(__xludf.DUMMYFUNCTION("""COMPUTED_VALUE"""),"")</f>
        <v/>
      </c>
      <c r="G769" s="17" t="str">
        <f ca="1">IFERROR(__xludf.DUMMYFUNCTION("""COMPUTED_VALUE"""),"")</f>
        <v/>
      </c>
      <c r="H769" s="17" t="str">
        <v/>
      </c>
    </row>
    <row r="770" spans="5:8" ht="13.2">
      <c r="E770" s="17" t="str">
        <f ca="1">IFERROR(__xludf.DUMMYFUNCTION("""COMPUTED_VALUE"""),"")</f>
        <v/>
      </c>
      <c r="F770" s="17" t="str">
        <f ca="1">IFERROR(__xludf.DUMMYFUNCTION("""COMPUTED_VALUE"""),"")</f>
        <v/>
      </c>
      <c r="G770" s="17" t="str">
        <f ca="1">IFERROR(__xludf.DUMMYFUNCTION("""COMPUTED_VALUE"""),"")</f>
        <v/>
      </c>
      <c r="H770" s="17" t="str">
        <v/>
      </c>
    </row>
    <row r="771" spans="5:8" ht="13.2">
      <c r="E771" s="17" t="str">
        <f ca="1">IFERROR(__xludf.DUMMYFUNCTION("""COMPUTED_VALUE"""),"")</f>
        <v/>
      </c>
      <c r="F771" s="17" t="str">
        <f ca="1">IFERROR(__xludf.DUMMYFUNCTION("""COMPUTED_VALUE"""),"")</f>
        <v/>
      </c>
      <c r="G771" s="17" t="str">
        <f ca="1">IFERROR(__xludf.DUMMYFUNCTION("""COMPUTED_VALUE"""),"")</f>
        <v/>
      </c>
      <c r="H771" s="17" t="str">
        <v/>
      </c>
    </row>
    <row r="772" spans="5:8" ht="13.2">
      <c r="E772" s="17" t="str">
        <f ca="1">IFERROR(__xludf.DUMMYFUNCTION("""COMPUTED_VALUE"""),"")</f>
        <v/>
      </c>
      <c r="F772" s="17" t="str">
        <f ca="1">IFERROR(__xludf.DUMMYFUNCTION("""COMPUTED_VALUE"""),"")</f>
        <v/>
      </c>
      <c r="G772" s="17" t="str">
        <f ca="1">IFERROR(__xludf.DUMMYFUNCTION("""COMPUTED_VALUE"""),"")</f>
        <v/>
      </c>
      <c r="H772" s="17" t="str">
        <v/>
      </c>
    </row>
    <row r="773" spans="5:8" ht="13.2">
      <c r="E773" s="17" t="str">
        <f ca="1">IFERROR(__xludf.DUMMYFUNCTION("""COMPUTED_VALUE"""),"")</f>
        <v/>
      </c>
      <c r="F773" s="17" t="str">
        <f ca="1">IFERROR(__xludf.DUMMYFUNCTION("""COMPUTED_VALUE"""),"")</f>
        <v/>
      </c>
      <c r="G773" s="17" t="str">
        <f ca="1">IFERROR(__xludf.DUMMYFUNCTION("""COMPUTED_VALUE"""),"")</f>
        <v/>
      </c>
      <c r="H773" s="17" t="str">
        <v/>
      </c>
    </row>
    <row r="774" spans="5:8" ht="13.2">
      <c r="E774" s="17" t="str">
        <f ca="1">IFERROR(__xludf.DUMMYFUNCTION("""COMPUTED_VALUE"""),"")</f>
        <v/>
      </c>
      <c r="F774" s="17" t="str">
        <f ca="1">IFERROR(__xludf.DUMMYFUNCTION("""COMPUTED_VALUE"""),"")</f>
        <v/>
      </c>
      <c r="G774" s="17" t="str">
        <f ca="1">IFERROR(__xludf.DUMMYFUNCTION("""COMPUTED_VALUE"""),"")</f>
        <v/>
      </c>
      <c r="H774" s="17" t="str">
        <v/>
      </c>
    </row>
    <row r="775" spans="5:8" ht="13.2">
      <c r="E775" s="17" t="str">
        <f ca="1">IFERROR(__xludf.DUMMYFUNCTION("""COMPUTED_VALUE"""),"")</f>
        <v/>
      </c>
      <c r="F775" s="17" t="str">
        <f ca="1">IFERROR(__xludf.DUMMYFUNCTION("""COMPUTED_VALUE"""),"")</f>
        <v/>
      </c>
      <c r="G775" s="17" t="str">
        <f ca="1">IFERROR(__xludf.DUMMYFUNCTION("""COMPUTED_VALUE"""),"")</f>
        <v/>
      </c>
      <c r="H775" s="17" t="str">
        <v/>
      </c>
    </row>
    <row r="776" spans="5:8" ht="13.2">
      <c r="E776" s="17" t="str">
        <f ca="1">IFERROR(__xludf.DUMMYFUNCTION("""COMPUTED_VALUE"""),"")</f>
        <v/>
      </c>
      <c r="F776" s="17" t="str">
        <f ca="1">IFERROR(__xludf.DUMMYFUNCTION("""COMPUTED_VALUE"""),"")</f>
        <v/>
      </c>
      <c r="G776" s="17" t="str">
        <f ca="1">IFERROR(__xludf.DUMMYFUNCTION("""COMPUTED_VALUE"""),"")</f>
        <v/>
      </c>
      <c r="H776" s="17" t="str">
        <v/>
      </c>
    </row>
    <row r="777" spans="5:8" ht="13.2">
      <c r="E777" s="17" t="str">
        <f ca="1">IFERROR(__xludf.DUMMYFUNCTION("""COMPUTED_VALUE"""),"")</f>
        <v/>
      </c>
      <c r="F777" s="17" t="str">
        <f ca="1">IFERROR(__xludf.DUMMYFUNCTION("""COMPUTED_VALUE"""),"")</f>
        <v/>
      </c>
      <c r="G777" s="17" t="str">
        <f ca="1">IFERROR(__xludf.DUMMYFUNCTION("""COMPUTED_VALUE"""),"")</f>
        <v/>
      </c>
      <c r="H777" s="17" t="str">
        <v/>
      </c>
    </row>
    <row r="778" spans="5:8" ht="13.2">
      <c r="E778" s="17" t="str">
        <f ca="1">IFERROR(__xludf.DUMMYFUNCTION("""COMPUTED_VALUE"""),"")</f>
        <v/>
      </c>
      <c r="F778" s="17" t="str">
        <f ca="1">IFERROR(__xludf.DUMMYFUNCTION("""COMPUTED_VALUE"""),"")</f>
        <v/>
      </c>
      <c r="G778" s="17" t="str">
        <f ca="1">IFERROR(__xludf.DUMMYFUNCTION("""COMPUTED_VALUE"""),"")</f>
        <v/>
      </c>
      <c r="H778" s="17" t="str">
        <v/>
      </c>
    </row>
    <row r="779" spans="5:8" ht="13.2">
      <c r="E779" s="17" t="str">
        <f ca="1">IFERROR(__xludf.DUMMYFUNCTION("""COMPUTED_VALUE"""),"")</f>
        <v/>
      </c>
      <c r="F779" s="17" t="str">
        <f ca="1">IFERROR(__xludf.DUMMYFUNCTION("""COMPUTED_VALUE"""),"")</f>
        <v/>
      </c>
      <c r="G779" s="17" t="str">
        <f ca="1">IFERROR(__xludf.DUMMYFUNCTION("""COMPUTED_VALUE"""),"")</f>
        <v/>
      </c>
      <c r="H779" s="17" t="str">
        <v/>
      </c>
    </row>
    <row r="780" spans="5:8" ht="13.2">
      <c r="E780" s="17" t="str">
        <f ca="1">IFERROR(__xludf.DUMMYFUNCTION("""COMPUTED_VALUE"""),"")</f>
        <v/>
      </c>
      <c r="F780" s="17" t="str">
        <f ca="1">IFERROR(__xludf.DUMMYFUNCTION("""COMPUTED_VALUE"""),"")</f>
        <v/>
      </c>
      <c r="G780" s="17" t="str">
        <f ca="1">IFERROR(__xludf.DUMMYFUNCTION("""COMPUTED_VALUE"""),"")</f>
        <v/>
      </c>
      <c r="H780" s="17" t="str">
        <v/>
      </c>
    </row>
    <row r="781" spans="5:8" ht="13.2">
      <c r="E781" s="17" t="str">
        <f ca="1">IFERROR(__xludf.DUMMYFUNCTION("""COMPUTED_VALUE"""),"")</f>
        <v/>
      </c>
      <c r="F781" s="17" t="str">
        <f ca="1">IFERROR(__xludf.DUMMYFUNCTION("""COMPUTED_VALUE"""),"")</f>
        <v/>
      </c>
      <c r="G781" s="17" t="str">
        <f ca="1">IFERROR(__xludf.DUMMYFUNCTION("""COMPUTED_VALUE"""),"")</f>
        <v/>
      </c>
      <c r="H781" s="17" t="str">
        <v/>
      </c>
    </row>
    <row r="782" spans="5:8" ht="13.2">
      <c r="E782" s="17" t="str">
        <f ca="1">IFERROR(__xludf.DUMMYFUNCTION("""COMPUTED_VALUE"""),"")</f>
        <v/>
      </c>
      <c r="F782" s="17" t="str">
        <f ca="1">IFERROR(__xludf.DUMMYFUNCTION("""COMPUTED_VALUE"""),"")</f>
        <v/>
      </c>
      <c r="G782" s="17" t="str">
        <f ca="1">IFERROR(__xludf.DUMMYFUNCTION("""COMPUTED_VALUE"""),"")</f>
        <v/>
      </c>
      <c r="H782" s="17" t="str">
        <v/>
      </c>
    </row>
    <row r="783" spans="5:8" ht="13.2">
      <c r="E783" s="17" t="str">
        <f ca="1">IFERROR(__xludf.DUMMYFUNCTION("""COMPUTED_VALUE"""),"")</f>
        <v/>
      </c>
      <c r="F783" s="17" t="str">
        <f ca="1">IFERROR(__xludf.DUMMYFUNCTION("""COMPUTED_VALUE"""),"")</f>
        <v/>
      </c>
      <c r="G783" s="17" t="str">
        <f ca="1">IFERROR(__xludf.DUMMYFUNCTION("""COMPUTED_VALUE"""),"")</f>
        <v/>
      </c>
      <c r="H783" s="17" t="str">
        <v/>
      </c>
    </row>
    <row r="784" spans="5:8" ht="13.2">
      <c r="E784" s="17" t="str">
        <f ca="1">IFERROR(__xludf.DUMMYFUNCTION("""COMPUTED_VALUE"""),"")</f>
        <v/>
      </c>
      <c r="F784" s="17" t="str">
        <f ca="1">IFERROR(__xludf.DUMMYFUNCTION("""COMPUTED_VALUE"""),"")</f>
        <v/>
      </c>
      <c r="G784" s="17" t="str">
        <f ca="1">IFERROR(__xludf.DUMMYFUNCTION("""COMPUTED_VALUE"""),"")</f>
        <v/>
      </c>
      <c r="H784" s="17" t="str">
        <v/>
      </c>
    </row>
    <row r="785" spans="5:8" ht="13.2">
      <c r="E785" s="17" t="str">
        <f ca="1">IFERROR(__xludf.DUMMYFUNCTION("""COMPUTED_VALUE"""),"")</f>
        <v/>
      </c>
      <c r="F785" s="17" t="str">
        <f ca="1">IFERROR(__xludf.DUMMYFUNCTION("""COMPUTED_VALUE"""),"")</f>
        <v/>
      </c>
      <c r="G785" s="17" t="str">
        <f ca="1">IFERROR(__xludf.DUMMYFUNCTION("""COMPUTED_VALUE"""),"")</f>
        <v/>
      </c>
      <c r="H785" s="17" t="str">
        <v/>
      </c>
    </row>
    <row r="786" spans="5:8" ht="13.2">
      <c r="E786" s="17" t="str">
        <f ca="1">IFERROR(__xludf.DUMMYFUNCTION("""COMPUTED_VALUE"""),"")</f>
        <v/>
      </c>
      <c r="F786" s="17" t="str">
        <f ca="1">IFERROR(__xludf.DUMMYFUNCTION("""COMPUTED_VALUE"""),"")</f>
        <v/>
      </c>
      <c r="G786" s="17" t="str">
        <f ca="1">IFERROR(__xludf.DUMMYFUNCTION("""COMPUTED_VALUE"""),"")</f>
        <v/>
      </c>
      <c r="H786" s="17" t="str">
        <v/>
      </c>
    </row>
    <row r="787" spans="5:8" ht="13.2">
      <c r="E787" s="17" t="str">
        <f ca="1">IFERROR(__xludf.DUMMYFUNCTION("""COMPUTED_VALUE"""),"")</f>
        <v/>
      </c>
      <c r="F787" s="17" t="str">
        <f ca="1">IFERROR(__xludf.DUMMYFUNCTION("""COMPUTED_VALUE"""),"")</f>
        <v/>
      </c>
      <c r="G787" s="17" t="str">
        <f ca="1">IFERROR(__xludf.DUMMYFUNCTION("""COMPUTED_VALUE"""),"")</f>
        <v/>
      </c>
      <c r="H787" s="17" t="str">
        <v/>
      </c>
    </row>
    <row r="788" spans="5:8" ht="13.2">
      <c r="E788" s="17" t="str">
        <f ca="1">IFERROR(__xludf.DUMMYFUNCTION("""COMPUTED_VALUE"""),"")</f>
        <v/>
      </c>
      <c r="F788" s="17" t="str">
        <f ca="1">IFERROR(__xludf.DUMMYFUNCTION("""COMPUTED_VALUE"""),"")</f>
        <v/>
      </c>
      <c r="G788" s="17" t="str">
        <f ca="1">IFERROR(__xludf.DUMMYFUNCTION("""COMPUTED_VALUE"""),"")</f>
        <v/>
      </c>
      <c r="H788" s="17" t="str">
        <v/>
      </c>
    </row>
    <row r="789" spans="5:8" ht="13.2">
      <c r="E789" s="17" t="str">
        <f ca="1">IFERROR(__xludf.DUMMYFUNCTION("""COMPUTED_VALUE"""),"")</f>
        <v/>
      </c>
      <c r="F789" s="17" t="str">
        <f ca="1">IFERROR(__xludf.DUMMYFUNCTION("""COMPUTED_VALUE"""),"")</f>
        <v/>
      </c>
      <c r="G789" s="17" t="str">
        <f ca="1">IFERROR(__xludf.DUMMYFUNCTION("""COMPUTED_VALUE"""),"")</f>
        <v/>
      </c>
      <c r="H789" s="17" t="str">
        <v/>
      </c>
    </row>
    <row r="790" spans="5:8" ht="13.2">
      <c r="E790" s="17" t="str">
        <f ca="1">IFERROR(__xludf.DUMMYFUNCTION("""COMPUTED_VALUE"""),"")</f>
        <v/>
      </c>
      <c r="F790" s="17" t="str">
        <f ca="1">IFERROR(__xludf.DUMMYFUNCTION("""COMPUTED_VALUE"""),"")</f>
        <v/>
      </c>
      <c r="G790" s="17" t="str">
        <f ca="1">IFERROR(__xludf.DUMMYFUNCTION("""COMPUTED_VALUE"""),"")</f>
        <v/>
      </c>
      <c r="H790" s="17" t="str">
        <v/>
      </c>
    </row>
    <row r="791" spans="5:8" ht="13.2">
      <c r="E791" s="17" t="str">
        <f ca="1">IFERROR(__xludf.DUMMYFUNCTION("""COMPUTED_VALUE"""),"")</f>
        <v/>
      </c>
      <c r="F791" s="17" t="str">
        <f ca="1">IFERROR(__xludf.DUMMYFUNCTION("""COMPUTED_VALUE"""),"")</f>
        <v/>
      </c>
      <c r="G791" s="17" t="str">
        <f ca="1">IFERROR(__xludf.DUMMYFUNCTION("""COMPUTED_VALUE"""),"")</f>
        <v/>
      </c>
      <c r="H791" s="17" t="str">
        <v/>
      </c>
    </row>
    <row r="792" spans="5:8" ht="13.2">
      <c r="E792" s="17" t="str">
        <f ca="1">IFERROR(__xludf.DUMMYFUNCTION("""COMPUTED_VALUE"""),"")</f>
        <v/>
      </c>
      <c r="F792" s="17" t="str">
        <f ca="1">IFERROR(__xludf.DUMMYFUNCTION("""COMPUTED_VALUE"""),"")</f>
        <v/>
      </c>
      <c r="G792" s="17" t="str">
        <f ca="1">IFERROR(__xludf.DUMMYFUNCTION("""COMPUTED_VALUE"""),"")</f>
        <v/>
      </c>
      <c r="H792" s="17" t="str">
        <v/>
      </c>
    </row>
    <row r="793" spans="5:8" ht="13.2">
      <c r="E793" s="17" t="str">
        <f ca="1">IFERROR(__xludf.DUMMYFUNCTION("""COMPUTED_VALUE"""),"")</f>
        <v/>
      </c>
      <c r="F793" s="17" t="str">
        <f ca="1">IFERROR(__xludf.DUMMYFUNCTION("""COMPUTED_VALUE"""),"")</f>
        <v/>
      </c>
      <c r="G793" s="17" t="str">
        <f ca="1">IFERROR(__xludf.DUMMYFUNCTION("""COMPUTED_VALUE"""),"")</f>
        <v/>
      </c>
      <c r="H793" s="17" t="str">
        <v/>
      </c>
    </row>
    <row r="794" spans="5:8" ht="13.2">
      <c r="E794" s="17" t="str">
        <f ca="1">IFERROR(__xludf.DUMMYFUNCTION("""COMPUTED_VALUE"""),"")</f>
        <v/>
      </c>
      <c r="F794" s="17" t="str">
        <f ca="1">IFERROR(__xludf.DUMMYFUNCTION("""COMPUTED_VALUE"""),"")</f>
        <v/>
      </c>
      <c r="G794" s="17" t="str">
        <f ca="1">IFERROR(__xludf.DUMMYFUNCTION("""COMPUTED_VALUE"""),"")</f>
        <v/>
      </c>
      <c r="H794" s="17" t="str">
        <v/>
      </c>
    </row>
    <row r="795" spans="5:8" ht="13.2">
      <c r="E795" s="17" t="str">
        <f ca="1">IFERROR(__xludf.DUMMYFUNCTION("""COMPUTED_VALUE"""),"")</f>
        <v/>
      </c>
      <c r="F795" s="17" t="str">
        <f ca="1">IFERROR(__xludf.DUMMYFUNCTION("""COMPUTED_VALUE"""),"")</f>
        <v/>
      </c>
      <c r="G795" s="17" t="str">
        <f ca="1">IFERROR(__xludf.DUMMYFUNCTION("""COMPUTED_VALUE"""),"")</f>
        <v/>
      </c>
      <c r="H795" s="17" t="str">
        <v/>
      </c>
    </row>
    <row r="796" spans="5:8" ht="13.2">
      <c r="E796" s="17" t="str">
        <f ca="1">IFERROR(__xludf.DUMMYFUNCTION("""COMPUTED_VALUE"""),"")</f>
        <v/>
      </c>
      <c r="F796" s="17" t="str">
        <f ca="1">IFERROR(__xludf.DUMMYFUNCTION("""COMPUTED_VALUE"""),"")</f>
        <v/>
      </c>
      <c r="G796" s="17" t="str">
        <f ca="1">IFERROR(__xludf.DUMMYFUNCTION("""COMPUTED_VALUE"""),"")</f>
        <v/>
      </c>
      <c r="H796" s="17" t="str">
        <v/>
      </c>
    </row>
    <row r="797" spans="5:8" ht="13.2">
      <c r="E797" s="17" t="str">
        <f ca="1">IFERROR(__xludf.DUMMYFUNCTION("""COMPUTED_VALUE"""),"")</f>
        <v/>
      </c>
      <c r="F797" s="17" t="str">
        <f ca="1">IFERROR(__xludf.DUMMYFUNCTION("""COMPUTED_VALUE"""),"")</f>
        <v/>
      </c>
      <c r="G797" s="17" t="str">
        <f ca="1">IFERROR(__xludf.DUMMYFUNCTION("""COMPUTED_VALUE"""),"")</f>
        <v/>
      </c>
      <c r="H797" s="17" t="str">
        <v/>
      </c>
    </row>
    <row r="798" spans="5:8" ht="13.2">
      <c r="E798" s="17" t="str">
        <f ca="1">IFERROR(__xludf.DUMMYFUNCTION("""COMPUTED_VALUE"""),"")</f>
        <v/>
      </c>
      <c r="F798" s="17" t="str">
        <f ca="1">IFERROR(__xludf.DUMMYFUNCTION("""COMPUTED_VALUE"""),"")</f>
        <v/>
      </c>
      <c r="G798" s="17" t="str">
        <f ca="1">IFERROR(__xludf.DUMMYFUNCTION("""COMPUTED_VALUE"""),"")</f>
        <v/>
      </c>
      <c r="H798" s="17" t="str">
        <v/>
      </c>
    </row>
    <row r="799" spans="5:8" ht="13.2">
      <c r="E799" s="17" t="str">
        <f ca="1">IFERROR(__xludf.DUMMYFUNCTION("""COMPUTED_VALUE"""),"")</f>
        <v/>
      </c>
      <c r="F799" s="17" t="str">
        <f ca="1">IFERROR(__xludf.DUMMYFUNCTION("""COMPUTED_VALUE"""),"")</f>
        <v/>
      </c>
      <c r="G799" s="17" t="str">
        <f ca="1">IFERROR(__xludf.DUMMYFUNCTION("""COMPUTED_VALUE"""),"")</f>
        <v/>
      </c>
      <c r="H799" s="17" t="str">
        <v/>
      </c>
    </row>
    <row r="800" spans="5:8" ht="13.2">
      <c r="E800" s="17" t="str">
        <f ca="1">IFERROR(__xludf.DUMMYFUNCTION("""COMPUTED_VALUE"""),"")</f>
        <v/>
      </c>
      <c r="F800" s="17" t="str">
        <f ca="1">IFERROR(__xludf.DUMMYFUNCTION("""COMPUTED_VALUE"""),"")</f>
        <v/>
      </c>
      <c r="G800" s="17" t="str">
        <f ca="1">IFERROR(__xludf.DUMMYFUNCTION("""COMPUTED_VALUE"""),"")</f>
        <v/>
      </c>
      <c r="H800" s="17" t="str">
        <v/>
      </c>
    </row>
    <row r="801" spans="5:8" ht="13.2">
      <c r="E801" s="17" t="str">
        <f ca="1">IFERROR(__xludf.DUMMYFUNCTION("""COMPUTED_VALUE"""),"")</f>
        <v/>
      </c>
      <c r="F801" s="17" t="str">
        <f ca="1">IFERROR(__xludf.DUMMYFUNCTION("""COMPUTED_VALUE"""),"")</f>
        <v/>
      </c>
      <c r="G801" s="17" t="str">
        <f ca="1">IFERROR(__xludf.DUMMYFUNCTION("""COMPUTED_VALUE"""),"")</f>
        <v/>
      </c>
      <c r="H801" s="17" t="str">
        <v/>
      </c>
    </row>
    <row r="802" spans="5:8" ht="13.2">
      <c r="E802" s="17" t="str">
        <f ca="1">IFERROR(__xludf.DUMMYFUNCTION("""COMPUTED_VALUE"""),"")</f>
        <v/>
      </c>
      <c r="F802" s="17" t="str">
        <f ca="1">IFERROR(__xludf.DUMMYFUNCTION("""COMPUTED_VALUE"""),"")</f>
        <v/>
      </c>
      <c r="G802" s="17" t="str">
        <f ca="1">IFERROR(__xludf.DUMMYFUNCTION("""COMPUTED_VALUE"""),"")</f>
        <v/>
      </c>
      <c r="H802" s="17" t="str">
        <v/>
      </c>
    </row>
    <row r="803" spans="5:8" ht="13.2">
      <c r="E803" s="17" t="str">
        <f ca="1">IFERROR(__xludf.DUMMYFUNCTION("""COMPUTED_VALUE"""),"")</f>
        <v/>
      </c>
      <c r="F803" s="17" t="str">
        <f ca="1">IFERROR(__xludf.DUMMYFUNCTION("""COMPUTED_VALUE"""),"")</f>
        <v/>
      </c>
      <c r="G803" s="17" t="str">
        <f ca="1">IFERROR(__xludf.DUMMYFUNCTION("""COMPUTED_VALUE"""),"")</f>
        <v/>
      </c>
      <c r="H803" s="17" t="str">
        <v/>
      </c>
    </row>
    <row r="804" spans="5:8" ht="13.2">
      <c r="E804" s="17" t="str">
        <f ca="1">IFERROR(__xludf.DUMMYFUNCTION("""COMPUTED_VALUE"""),"")</f>
        <v/>
      </c>
      <c r="F804" s="17" t="str">
        <f ca="1">IFERROR(__xludf.DUMMYFUNCTION("""COMPUTED_VALUE"""),"")</f>
        <v/>
      </c>
      <c r="G804" s="17" t="str">
        <f ca="1">IFERROR(__xludf.DUMMYFUNCTION("""COMPUTED_VALUE"""),"")</f>
        <v/>
      </c>
      <c r="H804" s="17" t="str">
        <v/>
      </c>
    </row>
    <row r="805" spans="5:8" ht="13.2">
      <c r="E805" s="17" t="str">
        <f ca="1">IFERROR(__xludf.DUMMYFUNCTION("""COMPUTED_VALUE"""),"")</f>
        <v/>
      </c>
      <c r="F805" s="17" t="str">
        <f ca="1">IFERROR(__xludf.DUMMYFUNCTION("""COMPUTED_VALUE"""),"")</f>
        <v/>
      </c>
      <c r="G805" s="17" t="str">
        <f ca="1">IFERROR(__xludf.DUMMYFUNCTION("""COMPUTED_VALUE"""),"")</f>
        <v/>
      </c>
      <c r="H805" s="17" t="str">
        <v/>
      </c>
    </row>
    <row r="806" spans="5:8" ht="13.2">
      <c r="E806" s="17" t="str">
        <f ca="1">IFERROR(__xludf.DUMMYFUNCTION("""COMPUTED_VALUE"""),"")</f>
        <v/>
      </c>
      <c r="F806" s="17" t="str">
        <f ca="1">IFERROR(__xludf.DUMMYFUNCTION("""COMPUTED_VALUE"""),"")</f>
        <v/>
      </c>
      <c r="G806" s="17" t="str">
        <f ca="1">IFERROR(__xludf.DUMMYFUNCTION("""COMPUTED_VALUE"""),"")</f>
        <v/>
      </c>
      <c r="H806" s="17" t="str">
        <v/>
      </c>
    </row>
    <row r="807" spans="5:8" ht="13.2">
      <c r="E807" s="17" t="str">
        <f ca="1">IFERROR(__xludf.DUMMYFUNCTION("""COMPUTED_VALUE"""),"")</f>
        <v/>
      </c>
      <c r="F807" s="17" t="str">
        <f ca="1">IFERROR(__xludf.DUMMYFUNCTION("""COMPUTED_VALUE"""),"")</f>
        <v/>
      </c>
      <c r="G807" s="17" t="str">
        <f ca="1">IFERROR(__xludf.DUMMYFUNCTION("""COMPUTED_VALUE"""),"")</f>
        <v/>
      </c>
      <c r="H807" s="17" t="str">
        <v/>
      </c>
    </row>
    <row r="808" spans="5:8" ht="13.2">
      <c r="E808" s="17" t="str">
        <f ca="1">IFERROR(__xludf.DUMMYFUNCTION("""COMPUTED_VALUE"""),"")</f>
        <v/>
      </c>
      <c r="F808" s="17" t="str">
        <f ca="1">IFERROR(__xludf.DUMMYFUNCTION("""COMPUTED_VALUE"""),"")</f>
        <v/>
      </c>
      <c r="G808" s="17" t="str">
        <f ca="1">IFERROR(__xludf.DUMMYFUNCTION("""COMPUTED_VALUE"""),"")</f>
        <v/>
      </c>
      <c r="H808" s="17" t="str">
        <v/>
      </c>
    </row>
    <row r="809" spans="5:8" ht="13.2">
      <c r="E809" s="17" t="str">
        <f ca="1">IFERROR(__xludf.DUMMYFUNCTION("""COMPUTED_VALUE"""),"")</f>
        <v/>
      </c>
      <c r="F809" s="17" t="str">
        <f ca="1">IFERROR(__xludf.DUMMYFUNCTION("""COMPUTED_VALUE"""),"")</f>
        <v/>
      </c>
      <c r="G809" s="17" t="str">
        <f ca="1">IFERROR(__xludf.DUMMYFUNCTION("""COMPUTED_VALUE"""),"")</f>
        <v/>
      </c>
      <c r="H809" s="17" t="str">
        <v/>
      </c>
    </row>
    <row r="810" spans="5:8" ht="13.2">
      <c r="E810" s="17" t="str">
        <f ca="1">IFERROR(__xludf.DUMMYFUNCTION("""COMPUTED_VALUE"""),"")</f>
        <v/>
      </c>
      <c r="F810" s="17" t="str">
        <f ca="1">IFERROR(__xludf.DUMMYFUNCTION("""COMPUTED_VALUE"""),"")</f>
        <v/>
      </c>
      <c r="G810" s="17" t="str">
        <f ca="1">IFERROR(__xludf.DUMMYFUNCTION("""COMPUTED_VALUE"""),"")</f>
        <v/>
      </c>
      <c r="H810" s="17" t="str">
        <v/>
      </c>
    </row>
    <row r="811" spans="5:8" ht="13.2">
      <c r="E811" s="17" t="str">
        <f ca="1">IFERROR(__xludf.DUMMYFUNCTION("""COMPUTED_VALUE"""),"")</f>
        <v/>
      </c>
      <c r="F811" s="17" t="str">
        <f ca="1">IFERROR(__xludf.DUMMYFUNCTION("""COMPUTED_VALUE"""),"")</f>
        <v/>
      </c>
      <c r="G811" s="17" t="str">
        <f ca="1">IFERROR(__xludf.DUMMYFUNCTION("""COMPUTED_VALUE"""),"")</f>
        <v/>
      </c>
      <c r="H811" s="17" t="str">
        <v/>
      </c>
    </row>
    <row r="812" spans="5:8" ht="13.2">
      <c r="E812" s="17" t="str">
        <f ca="1">IFERROR(__xludf.DUMMYFUNCTION("""COMPUTED_VALUE"""),"")</f>
        <v/>
      </c>
      <c r="F812" s="17" t="str">
        <f ca="1">IFERROR(__xludf.DUMMYFUNCTION("""COMPUTED_VALUE"""),"")</f>
        <v/>
      </c>
      <c r="G812" s="17" t="str">
        <f ca="1">IFERROR(__xludf.DUMMYFUNCTION("""COMPUTED_VALUE"""),"")</f>
        <v/>
      </c>
      <c r="H812" s="17" t="str">
        <v/>
      </c>
    </row>
    <row r="813" spans="5:8" ht="13.2">
      <c r="E813" s="17" t="str">
        <f ca="1">IFERROR(__xludf.DUMMYFUNCTION("""COMPUTED_VALUE"""),"")</f>
        <v/>
      </c>
      <c r="F813" s="17" t="str">
        <f ca="1">IFERROR(__xludf.DUMMYFUNCTION("""COMPUTED_VALUE"""),"")</f>
        <v/>
      </c>
      <c r="G813" s="17" t="str">
        <f ca="1">IFERROR(__xludf.DUMMYFUNCTION("""COMPUTED_VALUE"""),"")</f>
        <v/>
      </c>
      <c r="H813" s="17" t="str">
        <v/>
      </c>
    </row>
    <row r="814" spans="5:8" ht="13.2">
      <c r="E814" s="17" t="str">
        <f ca="1">IFERROR(__xludf.DUMMYFUNCTION("""COMPUTED_VALUE"""),"")</f>
        <v/>
      </c>
      <c r="F814" s="17" t="str">
        <f ca="1">IFERROR(__xludf.DUMMYFUNCTION("""COMPUTED_VALUE"""),"")</f>
        <v/>
      </c>
      <c r="G814" s="17" t="str">
        <f ca="1">IFERROR(__xludf.DUMMYFUNCTION("""COMPUTED_VALUE"""),"")</f>
        <v/>
      </c>
      <c r="H814" s="17" t="str">
        <v/>
      </c>
    </row>
    <row r="815" spans="5:8" ht="13.2">
      <c r="E815" s="17" t="str">
        <f ca="1">IFERROR(__xludf.DUMMYFUNCTION("""COMPUTED_VALUE"""),"")</f>
        <v/>
      </c>
      <c r="F815" s="17" t="str">
        <f ca="1">IFERROR(__xludf.DUMMYFUNCTION("""COMPUTED_VALUE"""),"")</f>
        <v/>
      </c>
      <c r="G815" s="17" t="str">
        <f ca="1">IFERROR(__xludf.DUMMYFUNCTION("""COMPUTED_VALUE"""),"")</f>
        <v/>
      </c>
      <c r="H815" s="17" t="str">
        <v/>
      </c>
    </row>
    <row r="816" spans="5:8" ht="13.2">
      <c r="E816" s="17" t="str">
        <f ca="1">IFERROR(__xludf.DUMMYFUNCTION("""COMPUTED_VALUE"""),"")</f>
        <v/>
      </c>
      <c r="F816" s="17" t="str">
        <f ca="1">IFERROR(__xludf.DUMMYFUNCTION("""COMPUTED_VALUE"""),"")</f>
        <v/>
      </c>
      <c r="G816" s="17" t="str">
        <f ca="1">IFERROR(__xludf.DUMMYFUNCTION("""COMPUTED_VALUE"""),"")</f>
        <v/>
      </c>
      <c r="H816" s="17" t="str">
        <v/>
      </c>
    </row>
    <row r="817" spans="5:8" ht="13.2">
      <c r="E817" s="17" t="str">
        <f ca="1">IFERROR(__xludf.DUMMYFUNCTION("""COMPUTED_VALUE"""),"")</f>
        <v/>
      </c>
      <c r="F817" s="17" t="str">
        <f ca="1">IFERROR(__xludf.DUMMYFUNCTION("""COMPUTED_VALUE"""),"")</f>
        <v/>
      </c>
      <c r="G817" s="17" t="str">
        <f ca="1">IFERROR(__xludf.DUMMYFUNCTION("""COMPUTED_VALUE"""),"")</f>
        <v/>
      </c>
      <c r="H817" s="17" t="str">
        <v/>
      </c>
    </row>
    <row r="818" spans="5:8" ht="13.2">
      <c r="E818" s="17" t="str">
        <f ca="1">IFERROR(__xludf.DUMMYFUNCTION("""COMPUTED_VALUE"""),"")</f>
        <v/>
      </c>
      <c r="F818" s="17" t="str">
        <f ca="1">IFERROR(__xludf.DUMMYFUNCTION("""COMPUTED_VALUE"""),"")</f>
        <v/>
      </c>
      <c r="G818" s="17" t="str">
        <f ca="1">IFERROR(__xludf.DUMMYFUNCTION("""COMPUTED_VALUE"""),"")</f>
        <v/>
      </c>
      <c r="H818" s="17" t="str">
        <v/>
      </c>
    </row>
    <row r="819" spans="5:8" ht="13.2">
      <c r="E819" s="17" t="str">
        <f ca="1">IFERROR(__xludf.DUMMYFUNCTION("""COMPUTED_VALUE"""),"")</f>
        <v/>
      </c>
      <c r="F819" s="17" t="str">
        <f ca="1">IFERROR(__xludf.DUMMYFUNCTION("""COMPUTED_VALUE"""),"")</f>
        <v/>
      </c>
      <c r="G819" s="17" t="str">
        <f ca="1">IFERROR(__xludf.DUMMYFUNCTION("""COMPUTED_VALUE"""),"")</f>
        <v/>
      </c>
      <c r="H819" s="17" t="str">
        <v/>
      </c>
    </row>
    <row r="820" spans="5:8" ht="13.2">
      <c r="E820" s="17" t="str">
        <f ca="1">IFERROR(__xludf.DUMMYFUNCTION("""COMPUTED_VALUE"""),"")</f>
        <v/>
      </c>
      <c r="F820" s="17" t="str">
        <f ca="1">IFERROR(__xludf.DUMMYFUNCTION("""COMPUTED_VALUE"""),"")</f>
        <v/>
      </c>
      <c r="G820" s="17" t="str">
        <f ca="1">IFERROR(__xludf.DUMMYFUNCTION("""COMPUTED_VALUE"""),"")</f>
        <v/>
      </c>
      <c r="H820" s="17" t="str">
        <v/>
      </c>
    </row>
    <row r="821" spans="5:8" ht="13.2">
      <c r="E821" s="17" t="str">
        <f ca="1">IFERROR(__xludf.DUMMYFUNCTION("""COMPUTED_VALUE"""),"")</f>
        <v/>
      </c>
      <c r="F821" s="17" t="str">
        <f ca="1">IFERROR(__xludf.DUMMYFUNCTION("""COMPUTED_VALUE"""),"")</f>
        <v/>
      </c>
      <c r="G821" s="17" t="str">
        <f ca="1">IFERROR(__xludf.DUMMYFUNCTION("""COMPUTED_VALUE"""),"")</f>
        <v/>
      </c>
      <c r="H821" s="17" t="str">
        <v/>
      </c>
    </row>
    <row r="822" spans="5:8" ht="13.2">
      <c r="E822" s="17" t="str">
        <f ca="1">IFERROR(__xludf.DUMMYFUNCTION("""COMPUTED_VALUE"""),"")</f>
        <v/>
      </c>
      <c r="F822" s="17" t="str">
        <f ca="1">IFERROR(__xludf.DUMMYFUNCTION("""COMPUTED_VALUE"""),"")</f>
        <v/>
      </c>
      <c r="G822" s="17" t="str">
        <f ca="1">IFERROR(__xludf.DUMMYFUNCTION("""COMPUTED_VALUE"""),"")</f>
        <v/>
      </c>
      <c r="H822" s="17" t="str">
        <v/>
      </c>
    </row>
    <row r="823" spans="5:8" ht="13.2">
      <c r="E823" s="17" t="str">
        <f ca="1">IFERROR(__xludf.DUMMYFUNCTION("""COMPUTED_VALUE"""),"")</f>
        <v/>
      </c>
      <c r="F823" s="17" t="str">
        <f ca="1">IFERROR(__xludf.DUMMYFUNCTION("""COMPUTED_VALUE"""),"")</f>
        <v/>
      </c>
      <c r="G823" s="17" t="str">
        <f ca="1">IFERROR(__xludf.DUMMYFUNCTION("""COMPUTED_VALUE"""),"")</f>
        <v/>
      </c>
      <c r="H823" s="17" t="str">
        <v/>
      </c>
    </row>
    <row r="824" spans="5:8" ht="13.2">
      <c r="E824" s="17" t="str">
        <f ca="1">IFERROR(__xludf.DUMMYFUNCTION("""COMPUTED_VALUE"""),"")</f>
        <v/>
      </c>
      <c r="F824" s="17" t="str">
        <f ca="1">IFERROR(__xludf.DUMMYFUNCTION("""COMPUTED_VALUE"""),"")</f>
        <v/>
      </c>
      <c r="G824" s="17" t="str">
        <f ca="1">IFERROR(__xludf.DUMMYFUNCTION("""COMPUTED_VALUE"""),"")</f>
        <v/>
      </c>
      <c r="H824" s="17" t="str">
        <v/>
      </c>
    </row>
    <row r="825" spans="5:8" ht="13.2">
      <c r="E825" s="17" t="str">
        <f ca="1">IFERROR(__xludf.DUMMYFUNCTION("""COMPUTED_VALUE"""),"")</f>
        <v/>
      </c>
      <c r="F825" s="17" t="str">
        <f ca="1">IFERROR(__xludf.DUMMYFUNCTION("""COMPUTED_VALUE"""),"")</f>
        <v/>
      </c>
      <c r="G825" s="17" t="str">
        <f ca="1">IFERROR(__xludf.DUMMYFUNCTION("""COMPUTED_VALUE"""),"")</f>
        <v/>
      </c>
      <c r="H825" s="17" t="str">
        <v/>
      </c>
    </row>
    <row r="826" spans="5:8" ht="13.2">
      <c r="E826" s="17" t="str">
        <f ca="1">IFERROR(__xludf.DUMMYFUNCTION("""COMPUTED_VALUE"""),"")</f>
        <v/>
      </c>
      <c r="F826" s="17" t="str">
        <f ca="1">IFERROR(__xludf.DUMMYFUNCTION("""COMPUTED_VALUE"""),"")</f>
        <v/>
      </c>
      <c r="G826" s="17" t="str">
        <f ca="1">IFERROR(__xludf.DUMMYFUNCTION("""COMPUTED_VALUE"""),"")</f>
        <v/>
      </c>
      <c r="H826" s="17" t="str">
        <v/>
      </c>
    </row>
    <row r="827" spans="5:8" ht="13.2">
      <c r="E827" s="17" t="str">
        <f ca="1">IFERROR(__xludf.DUMMYFUNCTION("""COMPUTED_VALUE"""),"")</f>
        <v/>
      </c>
      <c r="F827" s="17" t="str">
        <f ca="1">IFERROR(__xludf.DUMMYFUNCTION("""COMPUTED_VALUE"""),"")</f>
        <v/>
      </c>
      <c r="G827" s="17" t="str">
        <f ca="1">IFERROR(__xludf.DUMMYFUNCTION("""COMPUTED_VALUE"""),"")</f>
        <v/>
      </c>
      <c r="H827" s="17" t="str">
        <v/>
      </c>
    </row>
    <row r="828" spans="5:8" ht="13.2">
      <c r="E828" s="17" t="str">
        <f ca="1">IFERROR(__xludf.DUMMYFUNCTION("""COMPUTED_VALUE"""),"")</f>
        <v/>
      </c>
      <c r="F828" s="17" t="str">
        <f ca="1">IFERROR(__xludf.DUMMYFUNCTION("""COMPUTED_VALUE"""),"")</f>
        <v/>
      </c>
      <c r="G828" s="17" t="str">
        <f ca="1">IFERROR(__xludf.DUMMYFUNCTION("""COMPUTED_VALUE"""),"")</f>
        <v/>
      </c>
      <c r="H828" s="17" t="str">
        <v/>
      </c>
    </row>
    <row r="829" spans="5:8" ht="13.2">
      <c r="E829" s="17" t="str">
        <f ca="1">IFERROR(__xludf.DUMMYFUNCTION("""COMPUTED_VALUE"""),"")</f>
        <v/>
      </c>
      <c r="F829" s="17" t="str">
        <f ca="1">IFERROR(__xludf.DUMMYFUNCTION("""COMPUTED_VALUE"""),"")</f>
        <v/>
      </c>
      <c r="G829" s="17" t="str">
        <f ca="1">IFERROR(__xludf.DUMMYFUNCTION("""COMPUTED_VALUE"""),"")</f>
        <v/>
      </c>
      <c r="H829" s="17" t="str">
        <v/>
      </c>
    </row>
    <row r="830" spans="5:8" ht="13.2">
      <c r="E830" s="17" t="str">
        <f ca="1">IFERROR(__xludf.DUMMYFUNCTION("""COMPUTED_VALUE"""),"")</f>
        <v/>
      </c>
      <c r="F830" s="17" t="str">
        <f ca="1">IFERROR(__xludf.DUMMYFUNCTION("""COMPUTED_VALUE"""),"")</f>
        <v/>
      </c>
      <c r="G830" s="17" t="str">
        <f ca="1">IFERROR(__xludf.DUMMYFUNCTION("""COMPUTED_VALUE"""),"")</f>
        <v/>
      </c>
      <c r="H830" s="17" t="str">
        <v/>
      </c>
    </row>
    <row r="831" spans="5:8" ht="13.2">
      <c r="E831" s="17" t="str">
        <f ca="1">IFERROR(__xludf.DUMMYFUNCTION("""COMPUTED_VALUE"""),"")</f>
        <v/>
      </c>
      <c r="F831" s="17" t="str">
        <f ca="1">IFERROR(__xludf.DUMMYFUNCTION("""COMPUTED_VALUE"""),"")</f>
        <v/>
      </c>
      <c r="G831" s="17" t="str">
        <f ca="1">IFERROR(__xludf.DUMMYFUNCTION("""COMPUTED_VALUE"""),"")</f>
        <v/>
      </c>
      <c r="H831" s="17" t="str">
        <v/>
      </c>
    </row>
    <row r="832" spans="5:8" ht="13.2">
      <c r="E832" s="17" t="str">
        <f ca="1">IFERROR(__xludf.DUMMYFUNCTION("""COMPUTED_VALUE"""),"")</f>
        <v/>
      </c>
      <c r="F832" s="17" t="str">
        <f ca="1">IFERROR(__xludf.DUMMYFUNCTION("""COMPUTED_VALUE"""),"")</f>
        <v/>
      </c>
      <c r="G832" s="17" t="str">
        <f ca="1">IFERROR(__xludf.DUMMYFUNCTION("""COMPUTED_VALUE"""),"")</f>
        <v/>
      </c>
      <c r="H832" s="17" t="str">
        <v/>
      </c>
    </row>
    <row r="833" spans="5:8" ht="13.2">
      <c r="E833" s="17" t="str">
        <f ca="1">IFERROR(__xludf.DUMMYFUNCTION("""COMPUTED_VALUE"""),"")</f>
        <v/>
      </c>
      <c r="F833" s="17" t="str">
        <f ca="1">IFERROR(__xludf.DUMMYFUNCTION("""COMPUTED_VALUE"""),"")</f>
        <v/>
      </c>
      <c r="G833" s="17" t="str">
        <f ca="1">IFERROR(__xludf.DUMMYFUNCTION("""COMPUTED_VALUE"""),"")</f>
        <v/>
      </c>
      <c r="H833" s="17" t="str">
        <v/>
      </c>
    </row>
    <row r="834" spans="5:8" ht="13.2">
      <c r="E834" s="17" t="str">
        <f ca="1">IFERROR(__xludf.DUMMYFUNCTION("""COMPUTED_VALUE"""),"")</f>
        <v/>
      </c>
      <c r="F834" s="17" t="str">
        <f ca="1">IFERROR(__xludf.DUMMYFUNCTION("""COMPUTED_VALUE"""),"")</f>
        <v/>
      </c>
      <c r="G834" s="17" t="str">
        <f ca="1">IFERROR(__xludf.DUMMYFUNCTION("""COMPUTED_VALUE"""),"")</f>
        <v/>
      </c>
      <c r="H834" s="17" t="str">
        <v/>
      </c>
    </row>
    <row r="835" spans="5:8" ht="13.2">
      <c r="E835" s="17" t="str">
        <f ca="1">IFERROR(__xludf.DUMMYFUNCTION("""COMPUTED_VALUE"""),"")</f>
        <v/>
      </c>
      <c r="F835" s="17" t="str">
        <f ca="1">IFERROR(__xludf.DUMMYFUNCTION("""COMPUTED_VALUE"""),"")</f>
        <v/>
      </c>
      <c r="G835" s="17" t="str">
        <f ca="1">IFERROR(__xludf.DUMMYFUNCTION("""COMPUTED_VALUE"""),"")</f>
        <v/>
      </c>
      <c r="H835" s="17" t="str">
        <v/>
      </c>
    </row>
    <row r="836" spans="5:8" ht="13.2">
      <c r="E836" s="17" t="str">
        <f ca="1">IFERROR(__xludf.DUMMYFUNCTION("""COMPUTED_VALUE"""),"")</f>
        <v/>
      </c>
      <c r="F836" s="17" t="str">
        <f ca="1">IFERROR(__xludf.DUMMYFUNCTION("""COMPUTED_VALUE"""),"")</f>
        <v/>
      </c>
      <c r="G836" s="17" t="str">
        <f ca="1">IFERROR(__xludf.DUMMYFUNCTION("""COMPUTED_VALUE"""),"")</f>
        <v/>
      </c>
      <c r="H836" s="17" t="str">
        <v/>
      </c>
    </row>
    <row r="837" spans="5:8" ht="13.2">
      <c r="E837" s="17" t="str">
        <f ca="1">IFERROR(__xludf.DUMMYFUNCTION("""COMPUTED_VALUE"""),"")</f>
        <v/>
      </c>
      <c r="F837" s="17" t="str">
        <f ca="1">IFERROR(__xludf.DUMMYFUNCTION("""COMPUTED_VALUE"""),"")</f>
        <v/>
      </c>
      <c r="G837" s="17" t="str">
        <f ca="1">IFERROR(__xludf.DUMMYFUNCTION("""COMPUTED_VALUE"""),"")</f>
        <v/>
      </c>
      <c r="H837" s="17" t="str">
        <v/>
      </c>
    </row>
    <row r="838" spans="5:8" ht="13.2">
      <c r="E838" s="17" t="str">
        <f ca="1">IFERROR(__xludf.DUMMYFUNCTION("""COMPUTED_VALUE"""),"")</f>
        <v/>
      </c>
      <c r="F838" s="17" t="str">
        <f ca="1">IFERROR(__xludf.DUMMYFUNCTION("""COMPUTED_VALUE"""),"")</f>
        <v/>
      </c>
      <c r="G838" s="17" t="str">
        <f ca="1">IFERROR(__xludf.DUMMYFUNCTION("""COMPUTED_VALUE"""),"")</f>
        <v/>
      </c>
      <c r="H838" s="17" t="str">
        <v/>
      </c>
    </row>
    <row r="839" spans="5:8" ht="13.2">
      <c r="E839" s="17" t="str">
        <f ca="1">IFERROR(__xludf.DUMMYFUNCTION("""COMPUTED_VALUE"""),"")</f>
        <v/>
      </c>
      <c r="F839" s="17" t="str">
        <f ca="1">IFERROR(__xludf.DUMMYFUNCTION("""COMPUTED_VALUE"""),"")</f>
        <v/>
      </c>
      <c r="G839" s="17" t="str">
        <f ca="1">IFERROR(__xludf.DUMMYFUNCTION("""COMPUTED_VALUE"""),"")</f>
        <v/>
      </c>
      <c r="H839" s="17" t="str">
        <v/>
      </c>
    </row>
    <row r="840" spans="5:8" ht="13.2">
      <c r="E840" s="17" t="str">
        <f ca="1">IFERROR(__xludf.DUMMYFUNCTION("""COMPUTED_VALUE"""),"")</f>
        <v/>
      </c>
      <c r="F840" s="17" t="str">
        <f ca="1">IFERROR(__xludf.DUMMYFUNCTION("""COMPUTED_VALUE"""),"")</f>
        <v/>
      </c>
      <c r="G840" s="17" t="str">
        <f ca="1">IFERROR(__xludf.DUMMYFUNCTION("""COMPUTED_VALUE"""),"")</f>
        <v/>
      </c>
      <c r="H840" s="17" t="str">
        <v/>
      </c>
    </row>
    <row r="841" spans="5:8" ht="13.2">
      <c r="E841" s="17" t="str">
        <f ca="1">IFERROR(__xludf.DUMMYFUNCTION("""COMPUTED_VALUE"""),"")</f>
        <v/>
      </c>
      <c r="F841" s="17" t="str">
        <f ca="1">IFERROR(__xludf.DUMMYFUNCTION("""COMPUTED_VALUE"""),"")</f>
        <v/>
      </c>
      <c r="G841" s="17" t="str">
        <f ca="1">IFERROR(__xludf.DUMMYFUNCTION("""COMPUTED_VALUE"""),"")</f>
        <v/>
      </c>
      <c r="H841" s="17" t="str">
        <v/>
      </c>
    </row>
    <row r="842" spans="5:8" ht="13.2">
      <c r="E842" s="17" t="str">
        <f ca="1">IFERROR(__xludf.DUMMYFUNCTION("""COMPUTED_VALUE"""),"")</f>
        <v/>
      </c>
      <c r="F842" s="17" t="str">
        <f ca="1">IFERROR(__xludf.DUMMYFUNCTION("""COMPUTED_VALUE"""),"")</f>
        <v/>
      </c>
      <c r="G842" s="17" t="str">
        <f ca="1">IFERROR(__xludf.DUMMYFUNCTION("""COMPUTED_VALUE"""),"")</f>
        <v/>
      </c>
      <c r="H842" s="17" t="str">
        <v/>
      </c>
    </row>
    <row r="843" spans="5:8" ht="13.2">
      <c r="E843" s="17" t="str">
        <f ca="1">IFERROR(__xludf.DUMMYFUNCTION("""COMPUTED_VALUE"""),"")</f>
        <v/>
      </c>
      <c r="F843" s="17" t="str">
        <f ca="1">IFERROR(__xludf.DUMMYFUNCTION("""COMPUTED_VALUE"""),"")</f>
        <v/>
      </c>
      <c r="G843" s="17" t="str">
        <f ca="1">IFERROR(__xludf.DUMMYFUNCTION("""COMPUTED_VALUE"""),"")</f>
        <v/>
      </c>
      <c r="H843" s="17" t="str">
        <v/>
      </c>
    </row>
    <row r="844" spans="5:8" ht="13.2">
      <c r="E844" s="17" t="str">
        <f ca="1">IFERROR(__xludf.DUMMYFUNCTION("""COMPUTED_VALUE"""),"")</f>
        <v/>
      </c>
      <c r="F844" s="17" t="str">
        <f ca="1">IFERROR(__xludf.DUMMYFUNCTION("""COMPUTED_VALUE"""),"")</f>
        <v/>
      </c>
      <c r="G844" s="17" t="str">
        <f ca="1">IFERROR(__xludf.DUMMYFUNCTION("""COMPUTED_VALUE"""),"")</f>
        <v/>
      </c>
      <c r="H844" s="17" t="str">
        <v/>
      </c>
    </row>
    <row r="845" spans="5:8" ht="13.2">
      <c r="E845" s="17" t="str">
        <f ca="1">IFERROR(__xludf.DUMMYFUNCTION("""COMPUTED_VALUE"""),"")</f>
        <v/>
      </c>
      <c r="F845" s="17" t="str">
        <f ca="1">IFERROR(__xludf.DUMMYFUNCTION("""COMPUTED_VALUE"""),"")</f>
        <v/>
      </c>
      <c r="G845" s="17" t="str">
        <f ca="1">IFERROR(__xludf.DUMMYFUNCTION("""COMPUTED_VALUE"""),"")</f>
        <v/>
      </c>
      <c r="H845" s="17" t="str">
        <v/>
      </c>
    </row>
    <row r="846" spans="5:8" ht="13.2">
      <c r="E846" s="17" t="str">
        <f ca="1">IFERROR(__xludf.DUMMYFUNCTION("""COMPUTED_VALUE"""),"")</f>
        <v/>
      </c>
      <c r="F846" s="17" t="str">
        <f ca="1">IFERROR(__xludf.DUMMYFUNCTION("""COMPUTED_VALUE"""),"")</f>
        <v/>
      </c>
      <c r="G846" s="17" t="str">
        <f ca="1">IFERROR(__xludf.DUMMYFUNCTION("""COMPUTED_VALUE"""),"")</f>
        <v/>
      </c>
      <c r="H846" s="17" t="str">
        <v/>
      </c>
    </row>
    <row r="847" spans="5:8" ht="13.2">
      <c r="E847" s="17" t="str">
        <f ca="1">IFERROR(__xludf.DUMMYFUNCTION("""COMPUTED_VALUE"""),"")</f>
        <v/>
      </c>
      <c r="F847" s="17" t="str">
        <f ca="1">IFERROR(__xludf.DUMMYFUNCTION("""COMPUTED_VALUE"""),"")</f>
        <v/>
      </c>
      <c r="G847" s="17" t="str">
        <f ca="1">IFERROR(__xludf.DUMMYFUNCTION("""COMPUTED_VALUE"""),"")</f>
        <v/>
      </c>
      <c r="H847" s="17" t="str">
        <v/>
      </c>
    </row>
    <row r="848" spans="5:8" ht="13.2">
      <c r="E848" s="17" t="str">
        <f ca="1">IFERROR(__xludf.DUMMYFUNCTION("""COMPUTED_VALUE"""),"")</f>
        <v/>
      </c>
      <c r="F848" s="17" t="str">
        <f ca="1">IFERROR(__xludf.DUMMYFUNCTION("""COMPUTED_VALUE"""),"")</f>
        <v/>
      </c>
      <c r="G848" s="17" t="str">
        <f ca="1">IFERROR(__xludf.DUMMYFUNCTION("""COMPUTED_VALUE"""),"")</f>
        <v/>
      </c>
      <c r="H848" s="17" t="str">
        <v/>
      </c>
    </row>
    <row r="849" spans="5:8" ht="13.2">
      <c r="E849" s="17" t="str">
        <f ca="1">IFERROR(__xludf.DUMMYFUNCTION("""COMPUTED_VALUE"""),"")</f>
        <v/>
      </c>
      <c r="F849" s="17" t="str">
        <f ca="1">IFERROR(__xludf.DUMMYFUNCTION("""COMPUTED_VALUE"""),"")</f>
        <v/>
      </c>
      <c r="G849" s="17" t="str">
        <f ca="1">IFERROR(__xludf.DUMMYFUNCTION("""COMPUTED_VALUE"""),"")</f>
        <v/>
      </c>
      <c r="H849" s="17" t="str">
        <v/>
      </c>
    </row>
    <row r="850" spans="5:8" ht="13.2">
      <c r="E850" s="17" t="str">
        <f ca="1">IFERROR(__xludf.DUMMYFUNCTION("""COMPUTED_VALUE"""),"")</f>
        <v/>
      </c>
      <c r="F850" s="17" t="str">
        <f ca="1">IFERROR(__xludf.DUMMYFUNCTION("""COMPUTED_VALUE"""),"")</f>
        <v/>
      </c>
      <c r="G850" s="17" t="str">
        <f ca="1">IFERROR(__xludf.DUMMYFUNCTION("""COMPUTED_VALUE"""),"")</f>
        <v/>
      </c>
      <c r="H850" s="17" t="str">
        <v/>
      </c>
    </row>
    <row r="851" spans="5:8" ht="13.2">
      <c r="E851" s="17" t="str">
        <f ca="1">IFERROR(__xludf.DUMMYFUNCTION("""COMPUTED_VALUE"""),"")</f>
        <v/>
      </c>
      <c r="F851" s="17" t="str">
        <f ca="1">IFERROR(__xludf.DUMMYFUNCTION("""COMPUTED_VALUE"""),"")</f>
        <v/>
      </c>
      <c r="G851" s="17" t="str">
        <f ca="1">IFERROR(__xludf.DUMMYFUNCTION("""COMPUTED_VALUE"""),"")</f>
        <v/>
      </c>
      <c r="H851" s="17" t="str">
        <v/>
      </c>
    </row>
    <row r="852" spans="5:8" ht="13.2">
      <c r="E852" s="17" t="str">
        <f ca="1">IFERROR(__xludf.DUMMYFUNCTION("""COMPUTED_VALUE"""),"")</f>
        <v/>
      </c>
      <c r="F852" s="17" t="str">
        <f ca="1">IFERROR(__xludf.DUMMYFUNCTION("""COMPUTED_VALUE"""),"")</f>
        <v/>
      </c>
      <c r="G852" s="17" t="str">
        <f ca="1">IFERROR(__xludf.DUMMYFUNCTION("""COMPUTED_VALUE"""),"")</f>
        <v/>
      </c>
      <c r="H852" s="17" t="str">
        <v/>
      </c>
    </row>
    <row r="853" spans="5:8" ht="13.2">
      <c r="E853" s="17" t="str">
        <f ca="1">IFERROR(__xludf.DUMMYFUNCTION("""COMPUTED_VALUE"""),"")</f>
        <v/>
      </c>
      <c r="F853" s="17" t="str">
        <f ca="1">IFERROR(__xludf.DUMMYFUNCTION("""COMPUTED_VALUE"""),"")</f>
        <v/>
      </c>
      <c r="G853" s="17" t="str">
        <f ca="1">IFERROR(__xludf.DUMMYFUNCTION("""COMPUTED_VALUE"""),"")</f>
        <v/>
      </c>
      <c r="H853" s="17" t="str">
        <v/>
      </c>
    </row>
    <row r="854" spans="5:8" ht="13.2">
      <c r="E854" s="17" t="str">
        <f ca="1">IFERROR(__xludf.DUMMYFUNCTION("""COMPUTED_VALUE"""),"")</f>
        <v/>
      </c>
      <c r="F854" s="17" t="str">
        <f ca="1">IFERROR(__xludf.DUMMYFUNCTION("""COMPUTED_VALUE"""),"")</f>
        <v/>
      </c>
      <c r="G854" s="17" t="str">
        <f ca="1">IFERROR(__xludf.DUMMYFUNCTION("""COMPUTED_VALUE"""),"")</f>
        <v/>
      </c>
      <c r="H854" s="17" t="str">
        <v/>
      </c>
    </row>
    <row r="855" spans="5:8" ht="13.2">
      <c r="E855" s="17" t="str">
        <f ca="1">IFERROR(__xludf.DUMMYFUNCTION("""COMPUTED_VALUE"""),"")</f>
        <v/>
      </c>
      <c r="F855" s="17" t="str">
        <f ca="1">IFERROR(__xludf.DUMMYFUNCTION("""COMPUTED_VALUE"""),"")</f>
        <v/>
      </c>
      <c r="G855" s="17" t="str">
        <f ca="1">IFERROR(__xludf.DUMMYFUNCTION("""COMPUTED_VALUE"""),"")</f>
        <v/>
      </c>
      <c r="H855" s="17" t="str">
        <v/>
      </c>
    </row>
    <row r="856" spans="5:8" ht="13.2">
      <c r="E856" s="17" t="str">
        <f ca="1">IFERROR(__xludf.DUMMYFUNCTION("""COMPUTED_VALUE"""),"")</f>
        <v/>
      </c>
      <c r="F856" s="17" t="str">
        <f ca="1">IFERROR(__xludf.DUMMYFUNCTION("""COMPUTED_VALUE"""),"")</f>
        <v/>
      </c>
      <c r="G856" s="17" t="str">
        <f ca="1">IFERROR(__xludf.DUMMYFUNCTION("""COMPUTED_VALUE"""),"")</f>
        <v/>
      </c>
      <c r="H856" s="17" t="str">
        <v/>
      </c>
    </row>
    <row r="857" spans="5:8" ht="13.2">
      <c r="E857" s="17" t="str">
        <f ca="1">IFERROR(__xludf.DUMMYFUNCTION("""COMPUTED_VALUE"""),"")</f>
        <v/>
      </c>
      <c r="F857" s="17" t="str">
        <f ca="1">IFERROR(__xludf.DUMMYFUNCTION("""COMPUTED_VALUE"""),"")</f>
        <v/>
      </c>
      <c r="G857" s="17" t="str">
        <f ca="1">IFERROR(__xludf.DUMMYFUNCTION("""COMPUTED_VALUE"""),"")</f>
        <v/>
      </c>
      <c r="H857" s="17" t="str">
        <v/>
      </c>
    </row>
    <row r="858" spans="5:8" ht="13.2">
      <c r="E858" s="17" t="str">
        <f ca="1">IFERROR(__xludf.DUMMYFUNCTION("""COMPUTED_VALUE"""),"")</f>
        <v/>
      </c>
      <c r="F858" s="17" t="str">
        <f ca="1">IFERROR(__xludf.DUMMYFUNCTION("""COMPUTED_VALUE"""),"")</f>
        <v/>
      </c>
      <c r="G858" s="17" t="str">
        <f ca="1">IFERROR(__xludf.DUMMYFUNCTION("""COMPUTED_VALUE"""),"")</f>
        <v/>
      </c>
      <c r="H858" s="17" t="str">
        <v/>
      </c>
    </row>
    <row r="859" spans="5:8" ht="13.2">
      <c r="E859" s="17" t="str">
        <f ca="1">IFERROR(__xludf.DUMMYFUNCTION("""COMPUTED_VALUE"""),"")</f>
        <v/>
      </c>
      <c r="F859" s="17" t="str">
        <f ca="1">IFERROR(__xludf.DUMMYFUNCTION("""COMPUTED_VALUE"""),"")</f>
        <v/>
      </c>
      <c r="G859" s="17" t="str">
        <f ca="1">IFERROR(__xludf.DUMMYFUNCTION("""COMPUTED_VALUE"""),"")</f>
        <v/>
      </c>
      <c r="H859" s="17" t="str">
        <v/>
      </c>
    </row>
    <row r="860" spans="5:8" ht="13.2">
      <c r="E860" s="17" t="str">
        <f ca="1">IFERROR(__xludf.DUMMYFUNCTION("""COMPUTED_VALUE"""),"")</f>
        <v/>
      </c>
      <c r="F860" s="17" t="str">
        <f ca="1">IFERROR(__xludf.DUMMYFUNCTION("""COMPUTED_VALUE"""),"")</f>
        <v/>
      </c>
      <c r="G860" s="17" t="str">
        <f ca="1">IFERROR(__xludf.DUMMYFUNCTION("""COMPUTED_VALUE"""),"")</f>
        <v/>
      </c>
      <c r="H860" s="17" t="str">
        <v/>
      </c>
    </row>
    <row r="861" spans="5:8" ht="13.2">
      <c r="E861" s="17" t="str">
        <f ca="1">IFERROR(__xludf.DUMMYFUNCTION("""COMPUTED_VALUE"""),"")</f>
        <v/>
      </c>
      <c r="F861" s="17" t="str">
        <f ca="1">IFERROR(__xludf.DUMMYFUNCTION("""COMPUTED_VALUE"""),"")</f>
        <v/>
      </c>
      <c r="G861" s="17" t="str">
        <f ca="1">IFERROR(__xludf.DUMMYFUNCTION("""COMPUTED_VALUE"""),"")</f>
        <v/>
      </c>
      <c r="H861" s="17" t="str">
        <v/>
      </c>
    </row>
    <row r="862" spans="5:8" ht="13.2">
      <c r="E862" s="17" t="str">
        <f ca="1">IFERROR(__xludf.DUMMYFUNCTION("""COMPUTED_VALUE"""),"")</f>
        <v/>
      </c>
      <c r="F862" s="17" t="str">
        <f ca="1">IFERROR(__xludf.DUMMYFUNCTION("""COMPUTED_VALUE"""),"")</f>
        <v/>
      </c>
      <c r="G862" s="17" t="str">
        <f ca="1">IFERROR(__xludf.DUMMYFUNCTION("""COMPUTED_VALUE"""),"")</f>
        <v/>
      </c>
      <c r="H862" s="17" t="str">
        <v/>
      </c>
    </row>
    <row r="863" spans="5:8" ht="13.2">
      <c r="E863" s="17" t="str">
        <f ca="1">IFERROR(__xludf.DUMMYFUNCTION("""COMPUTED_VALUE"""),"")</f>
        <v/>
      </c>
      <c r="F863" s="17" t="str">
        <f ca="1">IFERROR(__xludf.DUMMYFUNCTION("""COMPUTED_VALUE"""),"")</f>
        <v/>
      </c>
      <c r="G863" s="17" t="str">
        <f ca="1">IFERROR(__xludf.DUMMYFUNCTION("""COMPUTED_VALUE"""),"")</f>
        <v/>
      </c>
      <c r="H863" s="17" t="str">
        <v/>
      </c>
    </row>
    <row r="864" spans="5:8" ht="13.2">
      <c r="E864" s="17" t="str">
        <f ca="1">IFERROR(__xludf.DUMMYFUNCTION("""COMPUTED_VALUE"""),"")</f>
        <v/>
      </c>
      <c r="F864" s="17" t="str">
        <f ca="1">IFERROR(__xludf.DUMMYFUNCTION("""COMPUTED_VALUE"""),"")</f>
        <v/>
      </c>
      <c r="G864" s="17" t="str">
        <f ca="1">IFERROR(__xludf.DUMMYFUNCTION("""COMPUTED_VALUE"""),"")</f>
        <v/>
      </c>
      <c r="H864" s="17" t="str">
        <v/>
      </c>
    </row>
    <row r="865" spans="5:8" ht="13.2">
      <c r="E865" s="17" t="str">
        <f ca="1">IFERROR(__xludf.DUMMYFUNCTION("""COMPUTED_VALUE"""),"")</f>
        <v/>
      </c>
      <c r="F865" s="17" t="str">
        <f ca="1">IFERROR(__xludf.DUMMYFUNCTION("""COMPUTED_VALUE"""),"")</f>
        <v/>
      </c>
      <c r="G865" s="17" t="str">
        <f ca="1">IFERROR(__xludf.DUMMYFUNCTION("""COMPUTED_VALUE"""),"")</f>
        <v/>
      </c>
      <c r="H865" s="17" t="str">
        <v/>
      </c>
    </row>
    <row r="866" spans="5:8" ht="13.2">
      <c r="E866" s="17" t="str">
        <f ca="1">IFERROR(__xludf.DUMMYFUNCTION("""COMPUTED_VALUE"""),"")</f>
        <v/>
      </c>
      <c r="F866" s="17" t="str">
        <f ca="1">IFERROR(__xludf.DUMMYFUNCTION("""COMPUTED_VALUE"""),"")</f>
        <v/>
      </c>
      <c r="G866" s="17" t="str">
        <f ca="1">IFERROR(__xludf.DUMMYFUNCTION("""COMPUTED_VALUE"""),"")</f>
        <v/>
      </c>
      <c r="H866" s="17" t="str">
        <v/>
      </c>
    </row>
    <row r="867" spans="5:8" ht="13.2">
      <c r="E867" s="17" t="str">
        <f ca="1">IFERROR(__xludf.DUMMYFUNCTION("""COMPUTED_VALUE"""),"")</f>
        <v/>
      </c>
      <c r="F867" s="17" t="str">
        <f ca="1">IFERROR(__xludf.DUMMYFUNCTION("""COMPUTED_VALUE"""),"")</f>
        <v/>
      </c>
      <c r="G867" s="17" t="str">
        <f ca="1">IFERROR(__xludf.DUMMYFUNCTION("""COMPUTED_VALUE"""),"")</f>
        <v/>
      </c>
      <c r="H867" s="17" t="str">
        <v/>
      </c>
    </row>
    <row r="868" spans="5:8" ht="13.2">
      <c r="E868" s="17" t="str">
        <f ca="1">IFERROR(__xludf.DUMMYFUNCTION("""COMPUTED_VALUE"""),"")</f>
        <v/>
      </c>
      <c r="F868" s="17" t="str">
        <f ca="1">IFERROR(__xludf.DUMMYFUNCTION("""COMPUTED_VALUE"""),"")</f>
        <v/>
      </c>
      <c r="G868" s="17" t="str">
        <f ca="1">IFERROR(__xludf.DUMMYFUNCTION("""COMPUTED_VALUE"""),"")</f>
        <v/>
      </c>
      <c r="H868" s="17" t="str">
        <v/>
      </c>
    </row>
    <row r="869" spans="5:8" ht="13.2">
      <c r="E869" s="17" t="str">
        <f ca="1">IFERROR(__xludf.DUMMYFUNCTION("""COMPUTED_VALUE"""),"")</f>
        <v/>
      </c>
      <c r="F869" s="17" t="str">
        <f ca="1">IFERROR(__xludf.DUMMYFUNCTION("""COMPUTED_VALUE"""),"")</f>
        <v/>
      </c>
      <c r="G869" s="17" t="str">
        <f ca="1">IFERROR(__xludf.DUMMYFUNCTION("""COMPUTED_VALUE"""),"")</f>
        <v/>
      </c>
      <c r="H869" s="17" t="str">
        <v/>
      </c>
    </row>
    <row r="870" spans="5:8" ht="13.2">
      <c r="E870" s="17" t="str">
        <f ca="1">IFERROR(__xludf.DUMMYFUNCTION("""COMPUTED_VALUE"""),"")</f>
        <v/>
      </c>
      <c r="F870" s="17" t="str">
        <f ca="1">IFERROR(__xludf.DUMMYFUNCTION("""COMPUTED_VALUE"""),"")</f>
        <v/>
      </c>
      <c r="G870" s="17" t="str">
        <f ca="1">IFERROR(__xludf.DUMMYFUNCTION("""COMPUTED_VALUE"""),"")</f>
        <v/>
      </c>
      <c r="H870" s="17" t="str">
        <v/>
      </c>
    </row>
    <row r="871" spans="5:8" ht="13.2">
      <c r="E871" s="17" t="str">
        <f ca="1">IFERROR(__xludf.DUMMYFUNCTION("""COMPUTED_VALUE"""),"")</f>
        <v/>
      </c>
      <c r="F871" s="17" t="str">
        <f ca="1">IFERROR(__xludf.DUMMYFUNCTION("""COMPUTED_VALUE"""),"")</f>
        <v/>
      </c>
      <c r="G871" s="17" t="str">
        <f ca="1">IFERROR(__xludf.DUMMYFUNCTION("""COMPUTED_VALUE"""),"")</f>
        <v/>
      </c>
      <c r="H871" s="17" t="str">
        <v/>
      </c>
    </row>
    <row r="872" spans="5:8" ht="13.2">
      <c r="E872" s="17" t="str">
        <f ca="1">IFERROR(__xludf.DUMMYFUNCTION("""COMPUTED_VALUE"""),"")</f>
        <v/>
      </c>
      <c r="F872" s="17" t="str">
        <f ca="1">IFERROR(__xludf.DUMMYFUNCTION("""COMPUTED_VALUE"""),"")</f>
        <v/>
      </c>
      <c r="G872" s="17" t="str">
        <f ca="1">IFERROR(__xludf.DUMMYFUNCTION("""COMPUTED_VALUE"""),"")</f>
        <v/>
      </c>
      <c r="H872" s="17" t="str">
        <v/>
      </c>
    </row>
    <row r="873" spans="5:8" ht="13.2">
      <c r="E873" s="17" t="str">
        <f ca="1">IFERROR(__xludf.DUMMYFUNCTION("""COMPUTED_VALUE"""),"")</f>
        <v/>
      </c>
      <c r="F873" s="17" t="str">
        <f ca="1">IFERROR(__xludf.DUMMYFUNCTION("""COMPUTED_VALUE"""),"")</f>
        <v/>
      </c>
      <c r="G873" s="17" t="str">
        <f ca="1">IFERROR(__xludf.DUMMYFUNCTION("""COMPUTED_VALUE"""),"")</f>
        <v/>
      </c>
      <c r="H873" s="17" t="str">
        <v/>
      </c>
    </row>
    <row r="874" spans="5:8" ht="13.2">
      <c r="E874" s="17" t="str">
        <f ca="1">IFERROR(__xludf.DUMMYFUNCTION("""COMPUTED_VALUE"""),"")</f>
        <v/>
      </c>
      <c r="F874" s="17" t="str">
        <f ca="1">IFERROR(__xludf.DUMMYFUNCTION("""COMPUTED_VALUE"""),"")</f>
        <v/>
      </c>
      <c r="G874" s="17" t="str">
        <f ca="1">IFERROR(__xludf.DUMMYFUNCTION("""COMPUTED_VALUE"""),"")</f>
        <v/>
      </c>
      <c r="H874" s="17" t="str">
        <v/>
      </c>
    </row>
    <row r="875" spans="5:8" ht="13.2">
      <c r="E875" s="17" t="str">
        <f ca="1">IFERROR(__xludf.DUMMYFUNCTION("""COMPUTED_VALUE"""),"")</f>
        <v/>
      </c>
      <c r="F875" s="17" t="str">
        <f ca="1">IFERROR(__xludf.DUMMYFUNCTION("""COMPUTED_VALUE"""),"")</f>
        <v/>
      </c>
      <c r="G875" s="17" t="str">
        <f ca="1">IFERROR(__xludf.DUMMYFUNCTION("""COMPUTED_VALUE"""),"")</f>
        <v/>
      </c>
      <c r="H875" s="17" t="str">
        <v/>
      </c>
    </row>
    <row r="876" spans="5:8" ht="13.2">
      <c r="E876" s="17" t="str">
        <f ca="1">IFERROR(__xludf.DUMMYFUNCTION("""COMPUTED_VALUE"""),"")</f>
        <v/>
      </c>
      <c r="F876" s="17" t="str">
        <f ca="1">IFERROR(__xludf.DUMMYFUNCTION("""COMPUTED_VALUE"""),"")</f>
        <v/>
      </c>
      <c r="G876" s="17" t="str">
        <f ca="1">IFERROR(__xludf.DUMMYFUNCTION("""COMPUTED_VALUE"""),"")</f>
        <v/>
      </c>
      <c r="H876" s="17" t="str">
        <v/>
      </c>
    </row>
    <row r="877" spans="5:8" ht="13.2">
      <c r="E877" s="17" t="str">
        <f ca="1">IFERROR(__xludf.DUMMYFUNCTION("""COMPUTED_VALUE"""),"")</f>
        <v/>
      </c>
      <c r="F877" s="17" t="str">
        <f ca="1">IFERROR(__xludf.DUMMYFUNCTION("""COMPUTED_VALUE"""),"")</f>
        <v/>
      </c>
      <c r="G877" s="17" t="str">
        <f ca="1">IFERROR(__xludf.DUMMYFUNCTION("""COMPUTED_VALUE"""),"")</f>
        <v/>
      </c>
      <c r="H877" s="17" t="str">
        <v/>
      </c>
    </row>
    <row r="878" spans="5:8" ht="13.2">
      <c r="E878" s="17" t="str">
        <f ca="1">IFERROR(__xludf.DUMMYFUNCTION("""COMPUTED_VALUE"""),"")</f>
        <v/>
      </c>
      <c r="F878" s="17" t="str">
        <f ca="1">IFERROR(__xludf.DUMMYFUNCTION("""COMPUTED_VALUE"""),"")</f>
        <v/>
      </c>
      <c r="G878" s="17" t="str">
        <f ca="1">IFERROR(__xludf.DUMMYFUNCTION("""COMPUTED_VALUE"""),"")</f>
        <v/>
      </c>
      <c r="H878" s="17" t="str">
        <v/>
      </c>
    </row>
    <row r="879" spans="5:8" ht="13.2">
      <c r="E879" s="17" t="str">
        <f ca="1">IFERROR(__xludf.DUMMYFUNCTION("""COMPUTED_VALUE"""),"")</f>
        <v/>
      </c>
      <c r="F879" s="17" t="str">
        <f ca="1">IFERROR(__xludf.DUMMYFUNCTION("""COMPUTED_VALUE"""),"")</f>
        <v/>
      </c>
      <c r="G879" s="17" t="str">
        <f ca="1">IFERROR(__xludf.DUMMYFUNCTION("""COMPUTED_VALUE"""),"")</f>
        <v/>
      </c>
      <c r="H879" s="17" t="str">
        <v/>
      </c>
    </row>
    <row r="880" spans="5:8" ht="13.2">
      <c r="E880" s="17" t="str">
        <f ca="1">IFERROR(__xludf.DUMMYFUNCTION("""COMPUTED_VALUE"""),"")</f>
        <v/>
      </c>
      <c r="F880" s="17" t="str">
        <f ca="1">IFERROR(__xludf.DUMMYFUNCTION("""COMPUTED_VALUE"""),"")</f>
        <v/>
      </c>
      <c r="G880" s="17" t="str">
        <f ca="1">IFERROR(__xludf.DUMMYFUNCTION("""COMPUTED_VALUE"""),"")</f>
        <v/>
      </c>
      <c r="H880" s="17" t="str">
        <v/>
      </c>
    </row>
    <row r="881" spans="5:8" ht="13.2">
      <c r="E881" s="17" t="str">
        <f ca="1">IFERROR(__xludf.DUMMYFUNCTION("""COMPUTED_VALUE"""),"")</f>
        <v/>
      </c>
      <c r="F881" s="17" t="str">
        <f ca="1">IFERROR(__xludf.DUMMYFUNCTION("""COMPUTED_VALUE"""),"")</f>
        <v/>
      </c>
      <c r="G881" s="17" t="str">
        <f ca="1">IFERROR(__xludf.DUMMYFUNCTION("""COMPUTED_VALUE"""),"")</f>
        <v/>
      </c>
      <c r="H881" s="17" t="str">
        <v/>
      </c>
    </row>
    <row r="882" spans="5:8" ht="13.2">
      <c r="E882" s="17" t="str">
        <f ca="1">IFERROR(__xludf.DUMMYFUNCTION("""COMPUTED_VALUE"""),"")</f>
        <v/>
      </c>
      <c r="F882" s="17" t="str">
        <f ca="1">IFERROR(__xludf.DUMMYFUNCTION("""COMPUTED_VALUE"""),"")</f>
        <v/>
      </c>
      <c r="G882" s="17" t="str">
        <f ca="1">IFERROR(__xludf.DUMMYFUNCTION("""COMPUTED_VALUE"""),"")</f>
        <v/>
      </c>
      <c r="H882" s="17" t="str">
        <v/>
      </c>
    </row>
    <row r="883" spans="5:8" ht="13.2">
      <c r="E883" s="17" t="str">
        <f ca="1">IFERROR(__xludf.DUMMYFUNCTION("""COMPUTED_VALUE"""),"")</f>
        <v/>
      </c>
      <c r="F883" s="17" t="str">
        <f ca="1">IFERROR(__xludf.DUMMYFUNCTION("""COMPUTED_VALUE"""),"")</f>
        <v/>
      </c>
      <c r="G883" s="17" t="str">
        <f ca="1">IFERROR(__xludf.DUMMYFUNCTION("""COMPUTED_VALUE"""),"")</f>
        <v/>
      </c>
      <c r="H883" s="17" t="str">
        <v/>
      </c>
    </row>
    <row r="884" spans="5:8" ht="13.2">
      <c r="E884" s="17" t="str">
        <f ca="1">IFERROR(__xludf.DUMMYFUNCTION("""COMPUTED_VALUE"""),"")</f>
        <v/>
      </c>
      <c r="F884" s="17" t="str">
        <f ca="1">IFERROR(__xludf.DUMMYFUNCTION("""COMPUTED_VALUE"""),"")</f>
        <v/>
      </c>
      <c r="G884" s="17" t="str">
        <f ca="1">IFERROR(__xludf.DUMMYFUNCTION("""COMPUTED_VALUE"""),"")</f>
        <v/>
      </c>
      <c r="H884" s="17" t="str">
        <v/>
      </c>
    </row>
    <row r="885" spans="5:8" ht="13.2">
      <c r="E885" s="17" t="str">
        <f ca="1">IFERROR(__xludf.DUMMYFUNCTION("""COMPUTED_VALUE"""),"")</f>
        <v/>
      </c>
      <c r="F885" s="17" t="str">
        <f ca="1">IFERROR(__xludf.DUMMYFUNCTION("""COMPUTED_VALUE"""),"")</f>
        <v/>
      </c>
      <c r="G885" s="17" t="str">
        <f ca="1">IFERROR(__xludf.DUMMYFUNCTION("""COMPUTED_VALUE"""),"")</f>
        <v/>
      </c>
      <c r="H885" s="17" t="str">
        <v/>
      </c>
    </row>
    <row r="886" spans="5:8" ht="13.2">
      <c r="E886" s="17" t="str">
        <f ca="1">IFERROR(__xludf.DUMMYFUNCTION("""COMPUTED_VALUE"""),"")</f>
        <v/>
      </c>
      <c r="F886" s="17" t="str">
        <f ca="1">IFERROR(__xludf.DUMMYFUNCTION("""COMPUTED_VALUE"""),"")</f>
        <v/>
      </c>
      <c r="G886" s="17" t="str">
        <f ca="1">IFERROR(__xludf.DUMMYFUNCTION("""COMPUTED_VALUE"""),"")</f>
        <v/>
      </c>
      <c r="H886" s="17" t="str">
        <v/>
      </c>
    </row>
    <row r="887" spans="5:8" ht="13.2">
      <c r="E887" s="17" t="str">
        <f ca="1">IFERROR(__xludf.DUMMYFUNCTION("""COMPUTED_VALUE"""),"")</f>
        <v/>
      </c>
      <c r="F887" s="17" t="str">
        <f ca="1">IFERROR(__xludf.DUMMYFUNCTION("""COMPUTED_VALUE"""),"")</f>
        <v/>
      </c>
      <c r="G887" s="17" t="str">
        <f ca="1">IFERROR(__xludf.DUMMYFUNCTION("""COMPUTED_VALUE"""),"")</f>
        <v/>
      </c>
      <c r="H887" s="17" t="str">
        <v/>
      </c>
    </row>
    <row r="888" spans="5:8" ht="13.2">
      <c r="E888" s="17" t="str">
        <f ca="1">IFERROR(__xludf.DUMMYFUNCTION("""COMPUTED_VALUE"""),"")</f>
        <v/>
      </c>
      <c r="F888" s="17" t="str">
        <f ca="1">IFERROR(__xludf.DUMMYFUNCTION("""COMPUTED_VALUE"""),"")</f>
        <v/>
      </c>
      <c r="G888" s="17" t="str">
        <f ca="1">IFERROR(__xludf.DUMMYFUNCTION("""COMPUTED_VALUE"""),"")</f>
        <v/>
      </c>
      <c r="H888" s="17" t="str">
        <v/>
      </c>
    </row>
    <row r="889" spans="5:8" ht="13.2">
      <c r="E889" s="17" t="str">
        <f ca="1">IFERROR(__xludf.DUMMYFUNCTION("""COMPUTED_VALUE"""),"")</f>
        <v/>
      </c>
      <c r="F889" s="17" t="str">
        <f ca="1">IFERROR(__xludf.DUMMYFUNCTION("""COMPUTED_VALUE"""),"")</f>
        <v/>
      </c>
      <c r="G889" s="17" t="str">
        <f ca="1">IFERROR(__xludf.DUMMYFUNCTION("""COMPUTED_VALUE"""),"")</f>
        <v/>
      </c>
      <c r="H889" s="17" t="str">
        <v/>
      </c>
    </row>
    <row r="890" spans="5:8" ht="13.2">
      <c r="E890" s="17" t="str">
        <f ca="1">IFERROR(__xludf.DUMMYFUNCTION("""COMPUTED_VALUE"""),"")</f>
        <v/>
      </c>
      <c r="F890" s="17" t="str">
        <f ca="1">IFERROR(__xludf.DUMMYFUNCTION("""COMPUTED_VALUE"""),"")</f>
        <v/>
      </c>
      <c r="G890" s="17" t="str">
        <f ca="1">IFERROR(__xludf.DUMMYFUNCTION("""COMPUTED_VALUE"""),"")</f>
        <v/>
      </c>
      <c r="H890" s="17" t="str">
        <v/>
      </c>
    </row>
    <row r="891" spans="5:8" ht="13.2">
      <c r="E891" s="17" t="str">
        <f ca="1">IFERROR(__xludf.DUMMYFUNCTION("""COMPUTED_VALUE"""),"")</f>
        <v/>
      </c>
      <c r="F891" s="17" t="str">
        <f ca="1">IFERROR(__xludf.DUMMYFUNCTION("""COMPUTED_VALUE"""),"")</f>
        <v/>
      </c>
      <c r="G891" s="17" t="str">
        <f ca="1">IFERROR(__xludf.DUMMYFUNCTION("""COMPUTED_VALUE"""),"")</f>
        <v/>
      </c>
      <c r="H891" s="17" t="str">
        <v/>
      </c>
    </row>
    <row r="892" spans="5:8" ht="13.2">
      <c r="E892" s="17" t="str">
        <f ca="1">IFERROR(__xludf.DUMMYFUNCTION("""COMPUTED_VALUE"""),"")</f>
        <v/>
      </c>
      <c r="F892" s="17" t="str">
        <f ca="1">IFERROR(__xludf.DUMMYFUNCTION("""COMPUTED_VALUE"""),"")</f>
        <v/>
      </c>
      <c r="G892" s="17" t="str">
        <f ca="1">IFERROR(__xludf.DUMMYFUNCTION("""COMPUTED_VALUE"""),"")</f>
        <v/>
      </c>
      <c r="H892" s="17" t="str">
        <v/>
      </c>
    </row>
    <row r="893" spans="5:8" ht="13.2">
      <c r="E893" s="17" t="str">
        <f ca="1">IFERROR(__xludf.DUMMYFUNCTION("""COMPUTED_VALUE"""),"")</f>
        <v/>
      </c>
      <c r="F893" s="17" t="str">
        <f ca="1">IFERROR(__xludf.DUMMYFUNCTION("""COMPUTED_VALUE"""),"")</f>
        <v/>
      </c>
      <c r="G893" s="17" t="str">
        <f ca="1">IFERROR(__xludf.DUMMYFUNCTION("""COMPUTED_VALUE"""),"")</f>
        <v/>
      </c>
      <c r="H893" s="17" t="str">
        <v/>
      </c>
    </row>
    <row r="894" spans="5:8" ht="13.2">
      <c r="E894" s="17" t="str">
        <f ca="1">IFERROR(__xludf.DUMMYFUNCTION("""COMPUTED_VALUE"""),"")</f>
        <v/>
      </c>
      <c r="F894" s="17" t="str">
        <f ca="1">IFERROR(__xludf.DUMMYFUNCTION("""COMPUTED_VALUE"""),"")</f>
        <v/>
      </c>
      <c r="G894" s="17" t="str">
        <f ca="1">IFERROR(__xludf.DUMMYFUNCTION("""COMPUTED_VALUE"""),"")</f>
        <v/>
      </c>
      <c r="H894" s="17" t="str">
        <v/>
      </c>
    </row>
    <row r="895" spans="5:8" ht="13.2">
      <c r="E895" s="17" t="str">
        <f ca="1">IFERROR(__xludf.DUMMYFUNCTION("""COMPUTED_VALUE"""),"")</f>
        <v/>
      </c>
      <c r="F895" s="17" t="str">
        <f ca="1">IFERROR(__xludf.DUMMYFUNCTION("""COMPUTED_VALUE"""),"")</f>
        <v/>
      </c>
      <c r="G895" s="17" t="str">
        <f ca="1">IFERROR(__xludf.DUMMYFUNCTION("""COMPUTED_VALUE"""),"")</f>
        <v/>
      </c>
      <c r="H895" s="17" t="str">
        <v/>
      </c>
    </row>
    <row r="896" spans="5:8" ht="13.2">
      <c r="E896" s="17" t="str">
        <f ca="1">IFERROR(__xludf.DUMMYFUNCTION("""COMPUTED_VALUE"""),"")</f>
        <v/>
      </c>
      <c r="F896" s="17" t="str">
        <f ca="1">IFERROR(__xludf.DUMMYFUNCTION("""COMPUTED_VALUE"""),"")</f>
        <v/>
      </c>
      <c r="G896" s="17" t="str">
        <f ca="1">IFERROR(__xludf.DUMMYFUNCTION("""COMPUTED_VALUE"""),"")</f>
        <v/>
      </c>
      <c r="H896" s="17" t="str">
        <v/>
      </c>
    </row>
    <row r="897" spans="5:8" ht="13.2">
      <c r="E897" s="17" t="str">
        <f ca="1">IFERROR(__xludf.DUMMYFUNCTION("""COMPUTED_VALUE"""),"")</f>
        <v/>
      </c>
      <c r="F897" s="17" t="str">
        <f ca="1">IFERROR(__xludf.DUMMYFUNCTION("""COMPUTED_VALUE"""),"")</f>
        <v/>
      </c>
      <c r="G897" s="17" t="str">
        <f ca="1">IFERROR(__xludf.DUMMYFUNCTION("""COMPUTED_VALUE"""),"")</f>
        <v/>
      </c>
      <c r="H897" s="17" t="str">
        <v/>
      </c>
    </row>
    <row r="898" spans="5:8" ht="13.2">
      <c r="E898" s="17" t="str">
        <f ca="1">IFERROR(__xludf.DUMMYFUNCTION("""COMPUTED_VALUE"""),"")</f>
        <v/>
      </c>
      <c r="F898" s="17" t="str">
        <f ca="1">IFERROR(__xludf.DUMMYFUNCTION("""COMPUTED_VALUE"""),"")</f>
        <v/>
      </c>
      <c r="G898" s="17" t="str">
        <f ca="1">IFERROR(__xludf.DUMMYFUNCTION("""COMPUTED_VALUE"""),"")</f>
        <v/>
      </c>
      <c r="H898" s="17" t="str">
        <v/>
      </c>
    </row>
    <row r="899" spans="5:8" ht="13.2">
      <c r="E899" s="17" t="str">
        <f ca="1">IFERROR(__xludf.DUMMYFUNCTION("""COMPUTED_VALUE"""),"")</f>
        <v/>
      </c>
      <c r="F899" s="17" t="str">
        <f ca="1">IFERROR(__xludf.DUMMYFUNCTION("""COMPUTED_VALUE"""),"")</f>
        <v/>
      </c>
      <c r="G899" s="17" t="str">
        <f ca="1">IFERROR(__xludf.DUMMYFUNCTION("""COMPUTED_VALUE"""),"")</f>
        <v/>
      </c>
      <c r="H899" s="17" t="str">
        <v/>
      </c>
    </row>
    <row r="900" spans="5:8" ht="13.2">
      <c r="E900" s="17" t="str">
        <f ca="1">IFERROR(__xludf.DUMMYFUNCTION("""COMPUTED_VALUE"""),"")</f>
        <v/>
      </c>
      <c r="F900" s="17" t="str">
        <f ca="1">IFERROR(__xludf.DUMMYFUNCTION("""COMPUTED_VALUE"""),"")</f>
        <v/>
      </c>
      <c r="G900" s="17" t="str">
        <f ca="1">IFERROR(__xludf.DUMMYFUNCTION("""COMPUTED_VALUE"""),"")</f>
        <v/>
      </c>
      <c r="H900" s="17" t="str">
        <v/>
      </c>
    </row>
    <row r="901" spans="5:8" ht="13.2">
      <c r="E901" s="17" t="str">
        <f ca="1">IFERROR(__xludf.DUMMYFUNCTION("""COMPUTED_VALUE"""),"")</f>
        <v/>
      </c>
      <c r="F901" s="17" t="str">
        <f ca="1">IFERROR(__xludf.DUMMYFUNCTION("""COMPUTED_VALUE"""),"")</f>
        <v/>
      </c>
      <c r="G901" s="17" t="str">
        <f ca="1">IFERROR(__xludf.DUMMYFUNCTION("""COMPUTED_VALUE"""),"")</f>
        <v/>
      </c>
      <c r="H901" s="17" t="str">
        <v/>
      </c>
    </row>
    <row r="902" spans="5:8" ht="13.2">
      <c r="E902" s="17" t="str">
        <f ca="1">IFERROR(__xludf.DUMMYFUNCTION("""COMPUTED_VALUE"""),"")</f>
        <v/>
      </c>
      <c r="F902" s="17" t="str">
        <f ca="1">IFERROR(__xludf.DUMMYFUNCTION("""COMPUTED_VALUE"""),"")</f>
        <v/>
      </c>
      <c r="G902" s="17" t="str">
        <f ca="1">IFERROR(__xludf.DUMMYFUNCTION("""COMPUTED_VALUE"""),"")</f>
        <v/>
      </c>
      <c r="H902" s="17" t="str">
        <v/>
      </c>
    </row>
    <row r="903" spans="5:8" ht="13.2">
      <c r="E903" s="17" t="str">
        <f ca="1">IFERROR(__xludf.DUMMYFUNCTION("""COMPUTED_VALUE"""),"")</f>
        <v/>
      </c>
      <c r="F903" s="17" t="str">
        <f ca="1">IFERROR(__xludf.DUMMYFUNCTION("""COMPUTED_VALUE"""),"")</f>
        <v/>
      </c>
      <c r="G903" s="17" t="str">
        <f ca="1">IFERROR(__xludf.DUMMYFUNCTION("""COMPUTED_VALUE"""),"")</f>
        <v/>
      </c>
      <c r="H903" s="17" t="str">
        <v/>
      </c>
    </row>
    <row r="904" spans="5:8" ht="13.2">
      <c r="E904" s="17" t="str">
        <f ca="1">IFERROR(__xludf.DUMMYFUNCTION("""COMPUTED_VALUE"""),"")</f>
        <v/>
      </c>
      <c r="F904" s="17" t="str">
        <f ca="1">IFERROR(__xludf.DUMMYFUNCTION("""COMPUTED_VALUE"""),"")</f>
        <v/>
      </c>
      <c r="G904" s="17" t="str">
        <f ca="1">IFERROR(__xludf.DUMMYFUNCTION("""COMPUTED_VALUE"""),"")</f>
        <v/>
      </c>
      <c r="H904" s="17" t="str">
        <v/>
      </c>
    </row>
    <row r="905" spans="5:8" ht="13.2">
      <c r="E905" s="17" t="str">
        <f ca="1">IFERROR(__xludf.DUMMYFUNCTION("""COMPUTED_VALUE"""),"")</f>
        <v/>
      </c>
      <c r="F905" s="17" t="str">
        <f ca="1">IFERROR(__xludf.DUMMYFUNCTION("""COMPUTED_VALUE"""),"")</f>
        <v/>
      </c>
      <c r="G905" s="17" t="str">
        <f ca="1">IFERROR(__xludf.DUMMYFUNCTION("""COMPUTED_VALUE"""),"")</f>
        <v/>
      </c>
      <c r="H905" s="17" t="str">
        <v/>
      </c>
    </row>
    <row r="906" spans="5:8" ht="13.2">
      <c r="E906" s="17" t="str">
        <f ca="1">IFERROR(__xludf.DUMMYFUNCTION("""COMPUTED_VALUE"""),"")</f>
        <v/>
      </c>
      <c r="F906" s="17" t="str">
        <f ca="1">IFERROR(__xludf.DUMMYFUNCTION("""COMPUTED_VALUE"""),"")</f>
        <v/>
      </c>
      <c r="G906" s="17" t="str">
        <f ca="1">IFERROR(__xludf.DUMMYFUNCTION("""COMPUTED_VALUE"""),"")</f>
        <v/>
      </c>
      <c r="H906" s="17" t="str">
        <v/>
      </c>
    </row>
    <row r="907" spans="5:8" ht="13.2">
      <c r="E907" s="17" t="str">
        <f ca="1">IFERROR(__xludf.DUMMYFUNCTION("""COMPUTED_VALUE"""),"")</f>
        <v/>
      </c>
      <c r="F907" s="17" t="str">
        <f ca="1">IFERROR(__xludf.DUMMYFUNCTION("""COMPUTED_VALUE"""),"")</f>
        <v/>
      </c>
      <c r="G907" s="17" t="str">
        <f ca="1">IFERROR(__xludf.DUMMYFUNCTION("""COMPUTED_VALUE"""),"")</f>
        <v/>
      </c>
      <c r="H907" s="17" t="str">
        <v/>
      </c>
    </row>
    <row r="908" spans="5:8" ht="13.2">
      <c r="E908" s="17" t="str">
        <f ca="1">IFERROR(__xludf.DUMMYFUNCTION("""COMPUTED_VALUE"""),"")</f>
        <v/>
      </c>
      <c r="F908" s="17" t="str">
        <f ca="1">IFERROR(__xludf.DUMMYFUNCTION("""COMPUTED_VALUE"""),"")</f>
        <v/>
      </c>
      <c r="G908" s="17" t="str">
        <f ca="1">IFERROR(__xludf.DUMMYFUNCTION("""COMPUTED_VALUE"""),"")</f>
        <v/>
      </c>
      <c r="H908" s="17" t="str">
        <v/>
      </c>
    </row>
    <row r="909" spans="5:8" ht="13.2">
      <c r="E909" s="17" t="str">
        <f ca="1">IFERROR(__xludf.DUMMYFUNCTION("""COMPUTED_VALUE"""),"")</f>
        <v/>
      </c>
      <c r="F909" s="17" t="str">
        <f ca="1">IFERROR(__xludf.DUMMYFUNCTION("""COMPUTED_VALUE"""),"")</f>
        <v/>
      </c>
      <c r="G909" s="17" t="str">
        <f ca="1">IFERROR(__xludf.DUMMYFUNCTION("""COMPUTED_VALUE"""),"")</f>
        <v/>
      </c>
      <c r="H909" s="17" t="str">
        <v/>
      </c>
    </row>
    <row r="910" spans="5:8" ht="13.2">
      <c r="E910" s="17" t="str">
        <f ca="1">IFERROR(__xludf.DUMMYFUNCTION("""COMPUTED_VALUE"""),"")</f>
        <v/>
      </c>
      <c r="F910" s="17" t="str">
        <f ca="1">IFERROR(__xludf.DUMMYFUNCTION("""COMPUTED_VALUE"""),"")</f>
        <v/>
      </c>
      <c r="G910" s="17" t="str">
        <f ca="1">IFERROR(__xludf.DUMMYFUNCTION("""COMPUTED_VALUE"""),"")</f>
        <v/>
      </c>
      <c r="H910" s="17" t="str">
        <v/>
      </c>
    </row>
    <row r="911" spans="5:8" ht="13.2">
      <c r="E911" s="17" t="str">
        <f ca="1">IFERROR(__xludf.DUMMYFUNCTION("""COMPUTED_VALUE"""),"")</f>
        <v/>
      </c>
      <c r="F911" s="17" t="str">
        <f ca="1">IFERROR(__xludf.DUMMYFUNCTION("""COMPUTED_VALUE"""),"")</f>
        <v/>
      </c>
      <c r="G911" s="17" t="str">
        <f ca="1">IFERROR(__xludf.DUMMYFUNCTION("""COMPUTED_VALUE"""),"")</f>
        <v/>
      </c>
      <c r="H911" s="17" t="str">
        <v/>
      </c>
    </row>
    <row r="912" spans="5:8" ht="13.2">
      <c r="E912" s="17" t="str">
        <f ca="1">IFERROR(__xludf.DUMMYFUNCTION("""COMPUTED_VALUE"""),"")</f>
        <v/>
      </c>
      <c r="F912" s="17" t="str">
        <f ca="1">IFERROR(__xludf.DUMMYFUNCTION("""COMPUTED_VALUE"""),"")</f>
        <v/>
      </c>
      <c r="G912" s="17" t="str">
        <f ca="1">IFERROR(__xludf.DUMMYFUNCTION("""COMPUTED_VALUE"""),"")</f>
        <v/>
      </c>
      <c r="H912" s="17" t="str">
        <v/>
      </c>
    </row>
    <row r="913" spans="5:8" ht="13.2">
      <c r="E913" s="17" t="str">
        <f ca="1">IFERROR(__xludf.DUMMYFUNCTION("""COMPUTED_VALUE"""),"")</f>
        <v/>
      </c>
      <c r="F913" s="17" t="str">
        <f ca="1">IFERROR(__xludf.DUMMYFUNCTION("""COMPUTED_VALUE"""),"")</f>
        <v/>
      </c>
      <c r="G913" s="17" t="str">
        <f ca="1">IFERROR(__xludf.DUMMYFUNCTION("""COMPUTED_VALUE"""),"")</f>
        <v/>
      </c>
      <c r="H913" s="17" t="str">
        <v/>
      </c>
    </row>
    <row r="914" spans="5:8" ht="13.2">
      <c r="E914" s="17" t="str">
        <f ca="1">IFERROR(__xludf.DUMMYFUNCTION("""COMPUTED_VALUE"""),"")</f>
        <v/>
      </c>
      <c r="F914" s="17" t="str">
        <f ca="1">IFERROR(__xludf.DUMMYFUNCTION("""COMPUTED_VALUE"""),"")</f>
        <v/>
      </c>
      <c r="G914" s="17" t="str">
        <f ca="1">IFERROR(__xludf.DUMMYFUNCTION("""COMPUTED_VALUE"""),"")</f>
        <v/>
      </c>
      <c r="H914" s="17" t="str">
        <v/>
      </c>
    </row>
    <row r="915" spans="5:8" ht="13.2">
      <c r="E915" s="17" t="str">
        <f ca="1">IFERROR(__xludf.DUMMYFUNCTION("""COMPUTED_VALUE"""),"")</f>
        <v/>
      </c>
      <c r="F915" s="17" t="str">
        <f ca="1">IFERROR(__xludf.DUMMYFUNCTION("""COMPUTED_VALUE"""),"")</f>
        <v/>
      </c>
      <c r="G915" s="17" t="str">
        <f ca="1">IFERROR(__xludf.DUMMYFUNCTION("""COMPUTED_VALUE"""),"")</f>
        <v/>
      </c>
      <c r="H915" s="17" t="str">
        <v/>
      </c>
    </row>
    <row r="916" spans="5:8" ht="13.2">
      <c r="E916" s="17" t="str">
        <f ca="1">IFERROR(__xludf.DUMMYFUNCTION("""COMPUTED_VALUE"""),"")</f>
        <v/>
      </c>
      <c r="F916" s="17" t="str">
        <f ca="1">IFERROR(__xludf.DUMMYFUNCTION("""COMPUTED_VALUE"""),"")</f>
        <v/>
      </c>
      <c r="G916" s="17" t="str">
        <f ca="1">IFERROR(__xludf.DUMMYFUNCTION("""COMPUTED_VALUE"""),"")</f>
        <v/>
      </c>
      <c r="H916" s="17" t="str">
        <v/>
      </c>
    </row>
    <row r="917" spans="5:8" ht="13.2">
      <c r="E917" s="17" t="str">
        <f ca="1">IFERROR(__xludf.DUMMYFUNCTION("""COMPUTED_VALUE"""),"")</f>
        <v/>
      </c>
      <c r="F917" s="17" t="str">
        <f ca="1">IFERROR(__xludf.DUMMYFUNCTION("""COMPUTED_VALUE"""),"")</f>
        <v/>
      </c>
      <c r="G917" s="17" t="str">
        <f ca="1">IFERROR(__xludf.DUMMYFUNCTION("""COMPUTED_VALUE"""),"")</f>
        <v/>
      </c>
      <c r="H917" s="17" t="str">
        <v/>
      </c>
    </row>
    <row r="918" spans="5:8" ht="13.2">
      <c r="E918" s="17" t="str">
        <f ca="1">IFERROR(__xludf.DUMMYFUNCTION("""COMPUTED_VALUE"""),"")</f>
        <v/>
      </c>
      <c r="F918" s="17" t="str">
        <f ca="1">IFERROR(__xludf.DUMMYFUNCTION("""COMPUTED_VALUE"""),"")</f>
        <v/>
      </c>
      <c r="G918" s="17" t="str">
        <f ca="1">IFERROR(__xludf.DUMMYFUNCTION("""COMPUTED_VALUE"""),"")</f>
        <v/>
      </c>
      <c r="H918" s="17" t="str">
        <v/>
      </c>
    </row>
    <row r="919" spans="5:8" ht="13.2">
      <c r="E919" s="17" t="str">
        <f ca="1">IFERROR(__xludf.DUMMYFUNCTION("""COMPUTED_VALUE"""),"")</f>
        <v/>
      </c>
      <c r="F919" s="17" t="str">
        <f ca="1">IFERROR(__xludf.DUMMYFUNCTION("""COMPUTED_VALUE"""),"")</f>
        <v/>
      </c>
      <c r="G919" s="17" t="str">
        <f ca="1">IFERROR(__xludf.DUMMYFUNCTION("""COMPUTED_VALUE"""),"")</f>
        <v/>
      </c>
      <c r="H919" s="17" t="str">
        <v/>
      </c>
    </row>
    <row r="920" spans="5:8" ht="13.2">
      <c r="E920" s="17" t="str">
        <f ca="1">IFERROR(__xludf.DUMMYFUNCTION("""COMPUTED_VALUE"""),"")</f>
        <v/>
      </c>
      <c r="F920" s="17" t="str">
        <f ca="1">IFERROR(__xludf.DUMMYFUNCTION("""COMPUTED_VALUE"""),"")</f>
        <v/>
      </c>
      <c r="G920" s="17" t="str">
        <f ca="1">IFERROR(__xludf.DUMMYFUNCTION("""COMPUTED_VALUE"""),"")</f>
        <v/>
      </c>
      <c r="H920" s="17" t="str">
        <v/>
      </c>
    </row>
    <row r="921" spans="5:8" ht="13.2">
      <c r="E921" s="17" t="str">
        <f ca="1">IFERROR(__xludf.DUMMYFUNCTION("""COMPUTED_VALUE"""),"")</f>
        <v/>
      </c>
      <c r="F921" s="17" t="str">
        <f ca="1">IFERROR(__xludf.DUMMYFUNCTION("""COMPUTED_VALUE"""),"")</f>
        <v/>
      </c>
      <c r="G921" s="17" t="str">
        <f ca="1">IFERROR(__xludf.DUMMYFUNCTION("""COMPUTED_VALUE"""),"")</f>
        <v/>
      </c>
      <c r="H921" s="17" t="str">
        <v/>
      </c>
    </row>
    <row r="922" spans="5:8" ht="13.2">
      <c r="E922" s="17" t="str">
        <f ca="1">IFERROR(__xludf.DUMMYFUNCTION("""COMPUTED_VALUE"""),"")</f>
        <v/>
      </c>
      <c r="F922" s="17" t="str">
        <f ca="1">IFERROR(__xludf.DUMMYFUNCTION("""COMPUTED_VALUE"""),"")</f>
        <v/>
      </c>
      <c r="G922" s="17" t="str">
        <f ca="1">IFERROR(__xludf.DUMMYFUNCTION("""COMPUTED_VALUE"""),"")</f>
        <v/>
      </c>
      <c r="H922" s="17" t="str">
        <v/>
      </c>
    </row>
    <row r="923" spans="5:8" ht="13.2">
      <c r="E923" s="17" t="str">
        <f ca="1">IFERROR(__xludf.DUMMYFUNCTION("""COMPUTED_VALUE"""),"")</f>
        <v/>
      </c>
      <c r="F923" s="17" t="str">
        <f ca="1">IFERROR(__xludf.DUMMYFUNCTION("""COMPUTED_VALUE"""),"")</f>
        <v/>
      </c>
      <c r="G923" s="17" t="str">
        <f ca="1">IFERROR(__xludf.DUMMYFUNCTION("""COMPUTED_VALUE"""),"")</f>
        <v/>
      </c>
      <c r="H923" s="17" t="str">
        <v/>
      </c>
    </row>
    <row r="924" spans="5:8" ht="13.2">
      <c r="E924" s="17" t="str">
        <f ca="1">IFERROR(__xludf.DUMMYFUNCTION("""COMPUTED_VALUE"""),"")</f>
        <v/>
      </c>
      <c r="F924" s="17" t="str">
        <f ca="1">IFERROR(__xludf.DUMMYFUNCTION("""COMPUTED_VALUE"""),"")</f>
        <v/>
      </c>
      <c r="G924" s="17" t="str">
        <f ca="1">IFERROR(__xludf.DUMMYFUNCTION("""COMPUTED_VALUE"""),"")</f>
        <v/>
      </c>
      <c r="H924" s="17" t="str">
        <v/>
      </c>
    </row>
    <row r="925" spans="5:8" ht="13.2">
      <c r="E925" s="17" t="str">
        <f ca="1">IFERROR(__xludf.DUMMYFUNCTION("""COMPUTED_VALUE"""),"")</f>
        <v/>
      </c>
      <c r="F925" s="17" t="str">
        <f ca="1">IFERROR(__xludf.DUMMYFUNCTION("""COMPUTED_VALUE"""),"")</f>
        <v/>
      </c>
      <c r="G925" s="17" t="str">
        <f ca="1">IFERROR(__xludf.DUMMYFUNCTION("""COMPUTED_VALUE"""),"")</f>
        <v/>
      </c>
      <c r="H925" s="17" t="str">
        <v/>
      </c>
    </row>
    <row r="926" spans="5:8" ht="13.2">
      <c r="E926" s="17" t="str">
        <f ca="1">IFERROR(__xludf.DUMMYFUNCTION("""COMPUTED_VALUE"""),"")</f>
        <v/>
      </c>
      <c r="F926" s="17" t="str">
        <f ca="1">IFERROR(__xludf.DUMMYFUNCTION("""COMPUTED_VALUE"""),"")</f>
        <v/>
      </c>
      <c r="G926" s="17" t="str">
        <f ca="1">IFERROR(__xludf.DUMMYFUNCTION("""COMPUTED_VALUE"""),"")</f>
        <v/>
      </c>
      <c r="H926" s="17" t="str">
        <v/>
      </c>
    </row>
    <row r="927" spans="5:8" ht="13.2">
      <c r="E927" s="17" t="str">
        <f ca="1">IFERROR(__xludf.DUMMYFUNCTION("""COMPUTED_VALUE"""),"")</f>
        <v/>
      </c>
      <c r="F927" s="17" t="str">
        <f ca="1">IFERROR(__xludf.DUMMYFUNCTION("""COMPUTED_VALUE"""),"")</f>
        <v/>
      </c>
      <c r="G927" s="17" t="str">
        <f ca="1">IFERROR(__xludf.DUMMYFUNCTION("""COMPUTED_VALUE"""),"")</f>
        <v/>
      </c>
      <c r="H927" s="17" t="str">
        <v/>
      </c>
    </row>
    <row r="928" spans="5:8" ht="13.2">
      <c r="E928" s="17" t="str">
        <f ca="1">IFERROR(__xludf.DUMMYFUNCTION("""COMPUTED_VALUE"""),"")</f>
        <v/>
      </c>
      <c r="F928" s="17" t="str">
        <f ca="1">IFERROR(__xludf.DUMMYFUNCTION("""COMPUTED_VALUE"""),"")</f>
        <v/>
      </c>
      <c r="G928" s="17" t="str">
        <f ca="1">IFERROR(__xludf.DUMMYFUNCTION("""COMPUTED_VALUE"""),"")</f>
        <v/>
      </c>
      <c r="H928" s="17" t="str">
        <v/>
      </c>
    </row>
    <row r="929" spans="5:8" ht="13.2">
      <c r="E929" s="17" t="str">
        <f ca="1">IFERROR(__xludf.DUMMYFUNCTION("""COMPUTED_VALUE"""),"")</f>
        <v/>
      </c>
      <c r="F929" s="17" t="str">
        <f ca="1">IFERROR(__xludf.DUMMYFUNCTION("""COMPUTED_VALUE"""),"")</f>
        <v/>
      </c>
      <c r="G929" s="17" t="str">
        <f ca="1">IFERROR(__xludf.DUMMYFUNCTION("""COMPUTED_VALUE"""),"")</f>
        <v/>
      </c>
      <c r="H929" s="17" t="str">
        <v/>
      </c>
    </row>
    <row r="930" spans="5:8" ht="13.2">
      <c r="E930" s="17" t="str">
        <f ca="1">IFERROR(__xludf.DUMMYFUNCTION("""COMPUTED_VALUE"""),"")</f>
        <v/>
      </c>
      <c r="F930" s="17" t="str">
        <f ca="1">IFERROR(__xludf.DUMMYFUNCTION("""COMPUTED_VALUE"""),"")</f>
        <v/>
      </c>
      <c r="G930" s="17" t="str">
        <f ca="1">IFERROR(__xludf.DUMMYFUNCTION("""COMPUTED_VALUE"""),"")</f>
        <v/>
      </c>
      <c r="H930" s="17" t="str">
        <v/>
      </c>
    </row>
    <row r="931" spans="5:8" ht="13.2">
      <c r="E931" s="17" t="str">
        <f ca="1">IFERROR(__xludf.DUMMYFUNCTION("""COMPUTED_VALUE"""),"")</f>
        <v/>
      </c>
      <c r="F931" s="17" t="str">
        <f ca="1">IFERROR(__xludf.DUMMYFUNCTION("""COMPUTED_VALUE"""),"")</f>
        <v/>
      </c>
      <c r="G931" s="17" t="str">
        <f ca="1">IFERROR(__xludf.DUMMYFUNCTION("""COMPUTED_VALUE"""),"")</f>
        <v/>
      </c>
      <c r="H931" s="17" t="str">
        <v/>
      </c>
    </row>
    <row r="932" spans="5:8" ht="13.2">
      <c r="E932" s="17" t="str">
        <f ca="1">IFERROR(__xludf.DUMMYFUNCTION("""COMPUTED_VALUE"""),"")</f>
        <v/>
      </c>
      <c r="F932" s="17" t="str">
        <f ca="1">IFERROR(__xludf.DUMMYFUNCTION("""COMPUTED_VALUE"""),"")</f>
        <v/>
      </c>
      <c r="G932" s="17" t="str">
        <f ca="1">IFERROR(__xludf.DUMMYFUNCTION("""COMPUTED_VALUE"""),"")</f>
        <v/>
      </c>
      <c r="H932" s="17" t="str">
        <v/>
      </c>
    </row>
    <row r="933" spans="5:8" ht="13.2">
      <c r="E933" s="17" t="str">
        <f ca="1">IFERROR(__xludf.DUMMYFUNCTION("""COMPUTED_VALUE"""),"")</f>
        <v/>
      </c>
      <c r="F933" s="17" t="str">
        <f ca="1">IFERROR(__xludf.DUMMYFUNCTION("""COMPUTED_VALUE"""),"")</f>
        <v/>
      </c>
      <c r="G933" s="17" t="str">
        <f ca="1">IFERROR(__xludf.DUMMYFUNCTION("""COMPUTED_VALUE"""),"")</f>
        <v/>
      </c>
      <c r="H933" s="17" t="str">
        <v/>
      </c>
    </row>
    <row r="934" spans="5:8" ht="13.2">
      <c r="E934" s="17" t="str">
        <f ca="1">IFERROR(__xludf.DUMMYFUNCTION("""COMPUTED_VALUE"""),"")</f>
        <v/>
      </c>
      <c r="F934" s="17" t="str">
        <f ca="1">IFERROR(__xludf.DUMMYFUNCTION("""COMPUTED_VALUE"""),"")</f>
        <v/>
      </c>
      <c r="G934" s="17" t="str">
        <f ca="1">IFERROR(__xludf.DUMMYFUNCTION("""COMPUTED_VALUE"""),"")</f>
        <v/>
      </c>
      <c r="H934" s="17" t="str">
        <v/>
      </c>
    </row>
    <row r="935" spans="5:8" ht="13.2">
      <c r="E935" s="17" t="str">
        <f ca="1">IFERROR(__xludf.DUMMYFUNCTION("""COMPUTED_VALUE"""),"")</f>
        <v/>
      </c>
      <c r="F935" s="17" t="str">
        <f ca="1">IFERROR(__xludf.DUMMYFUNCTION("""COMPUTED_VALUE"""),"")</f>
        <v/>
      </c>
      <c r="G935" s="17" t="str">
        <f ca="1">IFERROR(__xludf.DUMMYFUNCTION("""COMPUTED_VALUE"""),"")</f>
        <v/>
      </c>
      <c r="H935" s="17" t="str">
        <v/>
      </c>
    </row>
    <row r="936" spans="5:8" ht="13.2">
      <c r="E936" s="17" t="str">
        <f ca="1">IFERROR(__xludf.DUMMYFUNCTION("""COMPUTED_VALUE"""),"")</f>
        <v/>
      </c>
      <c r="F936" s="17" t="str">
        <f ca="1">IFERROR(__xludf.DUMMYFUNCTION("""COMPUTED_VALUE"""),"")</f>
        <v/>
      </c>
      <c r="G936" s="17" t="str">
        <f ca="1">IFERROR(__xludf.DUMMYFUNCTION("""COMPUTED_VALUE"""),"")</f>
        <v/>
      </c>
      <c r="H936" s="17" t="str">
        <v/>
      </c>
    </row>
    <row r="937" spans="5:8" ht="13.2">
      <c r="E937" s="17" t="str">
        <f ca="1">IFERROR(__xludf.DUMMYFUNCTION("""COMPUTED_VALUE"""),"")</f>
        <v/>
      </c>
      <c r="F937" s="17" t="str">
        <f ca="1">IFERROR(__xludf.DUMMYFUNCTION("""COMPUTED_VALUE"""),"")</f>
        <v/>
      </c>
      <c r="G937" s="17" t="str">
        <f ca="1">IFERROR(__xludf.DUMMYFUNCTION("""COMPUTED_VALUE"""),"")</f>
        <v/>
      </c>
      <c r="H937" s="17" t="str">
        <v/>
      </c>
    </row>
    <row r="938" spans="5:8" ht="13.2">
      <c r="E938" s="17" t="str">
        <f ca="1">IFERROR(__xludf.DUMMYFUNCTION("""COMPUTED_VALUE"""),"")</f>
        <v/>
      </c>
      <c r="F938" s="17" t="str">
        <f ca="1">IFERROR(__xludf.DUMMYFUNCTION("""COMPUTED_VALUE"""),"")</f>
        <v/>
      </c>
      <c r="G938" s="17" t="str">
        <f ca="1">IFERROR(__xludf.DUMMYFUNCTION("""COMPUTED_VALUE"""),"")</f>
        <v/>
      </c>
      <c r="H938" s="17" t="str">
        <v/>
      </c>
    </row>
    <row r="939" spans="5:8" ht="13.2">
      <c r="E939" s="17" t="str">
        <f ca="1">IFERROR(__xludf.DUMMYFUNCTION("""COMPUTED_VALUE"""),"")</f>
        <v/>
      </c>
      <c r="F939" s="17" t="str">
        <f ca="1">IFERROR(__xludf.DUMMYFUNCTION("""COMPUTED_VALUE"""),"")</f>
        <v/>
      </c>
      <c r="G939" s="17" t="str">
        <f ca="1">IFERROR(__xludf.DUMMYFUNCTION("""COMPUTED_VALUE"""),"")</f>
        <v/>
      </c>
      <c r="H939" s="17" t="str">
        <v/>
      </c>
    </row>
    <row r="940" spans="5:8" ht="13.2">
      <c r="E940" s="17" t="str">
        <f ca="1">IFERROR(__xludf.DUMMYFUNCTION("""COMPUTED_VALUE"""),"")</f>
        <v/>
      </c>
      <c r="F940" s="17" t="str">
        <f ca="1">IFERROR(__xludf.DUMMYFUNCTION("""COMPUTED_VALUE"""),"")</f>
        <v/>
      </c>
      <c r="G940" s="17" t="str">
        <f ca="1">IFERROR(__xludf.DUMMYFUNCTION("""COMPUTED_VALUE"""),"")</f>
        <v/>
      </c>
      <c r="H940" s="17" t="str">
        <v/>
      </c>
    </row>
    <row r="941" spans="5:8" ht="13.2">
      <c r="E941" s="17" t="str">
        <f ca="1">IFERROR(__xludf.DUMMYFUNCTION("""COMPUTED_VALUE"""),"")</f>
        <v/>
      </c>
      <c r="F941" s="17" t="str">
        <f ca="1">IFERROR(__xludf.DUMMYFUNCTION("""COMPUTED_VALUE"""),"")</f>
        <v/>
      </c>
      <c r="G941" s="17" t="str">
        <f ca="1">IFERROR(__xludf.DUMMYFUNCTION("""COMPUTED_VALUE"""),"")</f>
        <v/>
      </c>
      <c r="H941" s="17" t="str">
        <v/>
      </c>
    </row>
    <row r="942" spans="5:8" ht="13.2">
      <c r="E942" s="17" t="str">
        <f ca="1">IFERROR(__xludf.DUMMYFUNCTION("""COMPUTED_VALUE"""),"")</f>
        <v/>
      </c>
      <c r="F942" s="17" t="str">
        <f ca="1">IFERROR(__xludf.DUMMYFUNCTION("""COMPUTED_VALUE"""),"")</f>
        <v/>
      </c>
      <c r="G942" s="17" t="str">
        <f ca="1">IFERROR(__xludf.DUMMYFUNCTION("""COMPUTED_VALUE"""),"")</f>
        <v/>
      </c>
      <c r="H942" s="17" t="str">
        <v/>
      </c>
    </row>
    <row r="943" spans="5:8" ht="13.2">
      <c r="E943" s="17" t="str">
        <f ca="1">IFERROR(__xludf.DUMMYFUNCTION("""COMPUTED_VALUE"""),"")</f>
        <v/>
      </c>
      <c r="F943" s="17" t="str">
        <f ca="1">IFERROR(__xludf.DUMMYFUNCTION("""COMPUTED_VALUE"""),"")</f>
        <v/>
      </c>
      <c r="G943" s="17" t="str">
        <f ca="1">IFERROR(__xludf.DUMMYFUNCTION("""COMPUTED_VALUE"""),"")</f>
        <v/>
      </c>
      <c r="H943" s="17" t="str">
        <v/>
      </c>
    </row>
    <row r="944" spans="5:8" ht="13.2">
      <c r="E944" s="17" t="str">
        <f ca="1">IFERROR(__xludf.DUMMYFUNCTION("""COMPUTED_VALUE"""),"")</f>
        <v/>
      </c>
      <c r="F944" s="17" t="str">
        <f ca="1">IFERROR(__xludf.DUMMYFUNCTION("""COMPUTED_VALUE"""),"")</f>
        <v/>
      </c>
      <c r="G944" s="17" t="str">
        <f ca="1">IFERROR(__xludf.DUMMYFUNCTION("""COMPUTED_VALUE"""),"")</f>
        <v/>
      </c>
      <c r="H944" s="17" t="str">
        <v/>
      </c>
    </row>
    <row r="945" spans="5:8" ht="13.2">
      <c r="E945" s="17" t="str">
        <f ca="1">IFERROR(__xludf.DUMMYFUNCTION("""COMPUTED_VALUE"""),"")</f>
        <v/>
      </c>
      <c r="F945" s="17" t="str">
        <f ca="1">IFERROR(__xludf.DUMMYFUNCTION("""COMPUTED_VALUE"""),"")</f>
        <v/>
      </c>
      <c r="G945" s="17" t="str">
        <f ca="1">IFERROR(__xludf.DUMMYFUNCTION("""COMPUTED_VALUE"""),"")</f>
        <v/>
      </c>
      <c r="H945" s="17" t="str">
        <v/>
      </c>
    </row>
    <row r="946" spans="5:8" ht="13.2">
      <c r="E946" s="17" t="str">
        <f ca="1">IFERROR(__xludf.DUMMYFUNCTION("""COMPUTED_VALUE"""),"")</f>
        <v/>
      </c>
      <c r="F946" s="17" t="str">
        <f ca="1">IFERROR(__xludf.DUMMYFUNCTION("""COMPUTED_VALUE"""),"")</f>
        <v/>
      </c>
      <c r="G946" s="17" t="str">
        <f ca="1">IFERROR(__xludf.DUMMYFUNCTION("""COMPUTED_VALUE"""),"")</f>
        <v/>
      </c>
      <c r="H946" s="17" t="str">
        <v/>
      </c>
    </row>
    <row r="947" spans="5:8" ht="13.2">
      <c r="E947" s="17" t="str">
        <f ca="1">IFERROR(__xludf.DUMMYFUNCTION("""COMPUTED_VALUE"""),"")</f>
        <v/>
      </c>
      <c r="F947" s="17" t="str">
        <f ca="1">IFERROR(__xludf.DUMMYFUNCTION("""COMPUTED_VALUE"""),"")</f>
        <v/>
      </c>
      <c r="G947" s="17" t="str">
        <f ca="1">IFERROR(__xludf.DUMMYFUNCTION("""COMPUTED_VALUE"""),"")</f>
        <v/>
      </c>
      <c r="H947" s="17" t="str">
        <v/>
      </c>
    </row>
    <row r="948" spans="5:8" ht="13.2">
      <c r="E948" s="17" t="str">
        <f ca="1">IFERROR(__xludf.DUMMYFUNCTION("""COMPUTED_VALUE"""),"")</f>
        <v/>
      </c>
      <c r="F948" s="17" t="str">
        <f ca="1">IFERROR(__xludf.DUMMYFUNCTION("""COMPUTED_VALUE"""),"")</f>
        <v/>
      </c>
      <c r="G948" s="17" t="str">
        <f ca="1">IFERROR(__xludf.DUMMYFUNCTION("""COMPUTED_VALUE"""),"")</f>
        <v/>
      </c>
      <c r="H948" s="17" t="str">
        <v/>
      </c>
    </row>
    <row r="949" spans="5:8" ht="13.2">
      <c r="E949" s="17" t="str">
        <f ca="1">IFERROR(__xludf.DUMMYFUNCTION("""COMPUTED_VALUE"""),"")</f>
        <v/>
      </c>
      <c r="F949" s="17" t="str">
        <f ca="1">IFERROR(__xludf.DUMMYFUNCTION("""COMPUTED_VALUE"""),"")</f>
        <v/>
      </c>
      <c r="G949" s="17" t="str">
        <f ca="1">IFERROR(__xludf.DUMMYFUNCTION("""COMPUTED_VALUE"""),"")</f>
        <v/>
      </c>
      <c r="H949" s="17" t="str">
        <v/>
      </c>
    </row>
    <row r="950" spans="5:8" ht="13.2">
      <c r="E950" s="17" t="str">
        <f ca="1">IFERROR(__xludf.DUMMYFUNCTION("""COMPUTED_VALUE"""),"")</f>
        <v/>
      </c>
      <c r="F950" s="17" t="str">
        <f ca="1">IFERROR(__xludf.DUMMYFUNCTION("""COMPUTED_VALUE"""),"")</f>
        <v/>
      </c>
      <c r="G950" s="17" t="str">
        <f ca="1">IFERROR(__xludf.DUMMYFUNCTION("""COMPUTED_VALUE"""),"")</f>
        <v/>
      </c>
      <c r="H950" s="17" t="str">
        <v/>
      </c>
    </row>
    <row r="951" spans="5:8" ht="13.2">
      <c r="E951" s="17" t="str">
        <f ca="1">IFERROR(__xludf.DUMMYFUNCTION("""COMPUTED_VALUE"""),"")</f>
        <v/>
      </c>
      <c r="F951" s="17" t="str">
        <f ca="1">IFERROR(__xludf.DUMMYFUNCTION("""COMPUTED_VALUE"""),"")</f>
        <v/>
      </c>
      <c r="G951" s="17" t="str">
        <f ca="1">IFERROR(__xludf.DUMMYFUNCTION("""COMPUTED_VALUE"""),"")</f>
        <v/>
      </c>
      <c r="H951" s="17" t="str">
        <v/>
      </c>
    </row>
    <row r="952" spans="5:8" ht="13.2">
      <c r="E952" s="17" t="str">
        <f ca="1">IFERROR(__xludf.DUMMYFUNCTION("""COMPUTED_VALUE"""),"")</f>
        <v/>
      </c>
      <c r="F952" s="17" t="str">
        <f ca="1">IFERROR(__xludf.DUMMYFUNCTION("""COMPUTED_VALUE"""),"")</f>
        <v/>
      </c>
      <c r="G952" s="17" t="str">
        <f ca="1">IFERROR(__xludf.DUMMYFUNCTION("""COMPUTED_VALUE"""),"")</f>
        <v/>
      </c>
      <c r="H952" s="17" t="str">
        <v/>
      </c>
    </row>
    <row r="953" spans="5:8" ht="13.2">
      <c r="E953" s="17" t="str">
        <f ca="1">IFERROR(__xludf.DUMMYFUNCTION("""COMPUTED_VALUE"""),"")</f>
        <v/>
      </c>
      <c r="F953" s="17" t="str">
        <f ca="1">IFERROR(__xludf.DUMMYFUNCTION("""COMPUTED_VALUE"""),"")</f>
        <v/>
      </c>
      <c r="G953" s="17" t="str">
        <f ca="1">IFERROR(__xludf.DUMMYFUNCTION("""COMPUTED_VALUE"""),"")</f>
        <v/>
      </c>
      <c r="H953" s="17" t="str">
        <v/>
      </c>
    </row>
    <row r="954" spans="5:8" ht="13.2">
      <c r="E954" s="17" t="str">
        <f ca="1">IFERROR(__xludf.DUMMYFUNCTION("""COMPUTED_VALUE"""),"")</f>
        <v/>
      </c>
      <c r="F954" s="17" t="str">
        <f ca="1">IFERROR(__xludf.DUMMYFUNCTION("""COMPUTED_VALUE"""),"")</f>
        <v/>
      </c>
      <c r="G954" s="17" t="str">
        <f ca="1">IFERROR(__xludf.DUMMYFUNCTION("""COMPUTED_VALUE"""),"")</f>
        <v/>
      </c>
      <c r="H954" s="17" t="str">
        <v/>
      </c>
    </row>
    <row r="955" spans="5:8" ht="13.2">
      <c r="E955" s="17" t="str">
        <f ca="1">IFERROR(__xludf.DUMMYFUNCTION("""COMPUTED_VALUE"""),"")</f>
        <v/>
      </c>
      <c r="F955" s="17" t="str">
        <f ca="1">IFERROR(__xludf.DUMMYFUNCTION("""COMPUTED_VALUE"""),"")</f>
        <v/>
      </c>
      <c r="G955" s="17" t="str">
        <f ca="1">IFERROR(__xludf.DUMMYFUNCTION("""COMPUTED_VALUE"""),"")</f>
        <v/>
      </c>
      <c r="H955" s="17" t="str">
        <v/>
      </c>
    </row>
    <row r="956" spans="5:8" ht="13.2">
      <c r="E956" s="17" t="str">
        <f ca="1">IFERROR(__xludf.DUMMYFUNCTION("""COMPUTED_VALUE"""),"")</f>
        <v/>
      </c>
      <c r="F956" s="17" t="str">
        <f ca="1">IFERROR(__xludf.DUMMYFUNCTION("""COMPUTED_VALUE"""),"")</f>
        <v/>
      </c>
      <c r="G956" s="17" t="str">
        <f ca="1">IFERROR(__xludf.DUMMYFUNCTION("""COMPUTED_VALUE"""),"")</f>
        <v/>
      </c>
      <c r="H956" s="17" t="str">
        <v/>
      </c>
    </row>
    <row r="957" spans="5:8" ht="13.2">
      <c r="E957" s="17" t="str">
        <f ca="1">IFERROR(__xludf.DUMMYFUNCTION("""COMPUTED_VALUE"""),"")</f>
        <v/>
      </c>
      <c r="F957" s="17" t="str">
        <f ca="1">IFERROR(__xludf.DUMMYFUNCTION("""COMPUTED_VALUE"""),"")</f>
        <v/>
      </c>
      <c r="G957" s="17" t="str">
        <f ca="1">IFERROR(__xludf.DUMMYFUNCTION("""COMPUTED_VALUE"""),"")</f>
        <v/>
      </c>
      <c r="H957" s="17" t="str">
        <v/>
      </c>
    </row>
    <row r="958" spans="5:8" ht="13.2">
      <c r="E958" s="17" t="str">
        <f ca="1">IFERROR(__xludf.DUMMYFUNCTION("""COMPUTED_VALUE"""),"")</f>
        <v/>
      </c>
      <c r="F958" s="17" t="str">
        <f ca="1">IFERROR(__xludf.DUMMYFUNCTION("""COMPUTED_VALUE"""),"")</f>
        <v/>
      </c>
      <c r="G958" s="17" t="str">
        <f ca="1">IFERROR(__xludf.DUMMYFUNCTION("""COMPUTED_VALUE"""),"")</f>
        <v/>
      </c>
      <c r="H958" s="17" t="str">
        <v/>
      </c>
    </row>
    <row r="959" spans="5:8" ht="13.2">
      <c r="E959" s="17" t="str">
        <f ca="1">IFERROR(__xludf.DUMMYFUNCTION("""COMPUTED_VALUE"""),"")</f>
        <v/>
      </c>
      <c r="F959" s="17" t="str">
        <f ca="1">IFERROR(__xludf.DUMMYFUNCTION("""COMPUTED_VALUE"""),"")</f>
        <v/>
      </c>
      <c r="G959" s="17" t="str">
        <f ca="1">IFERROR(__xludf.DUMMYFUNCTION("""COMPUTED_VALUE"""),"")</f>
        <v/>
      </c>
      <c r="H959" s="17" t="str">
        <v/>
      </c>
    </row>
    <row r="960" spans="5:8" ht="13.2">
      <c r="E960" s="17" t="str">
        <f ca="1">IFERROR(__xludf.DUMMYFUNCTION("""COMPUTED_VALUE"""),"")</f>
        <v/>
      </c>
      <c r="F960" s="17" t="str">
        <f ca="1">IFERROR(__xludf.DUMMYFUNCTION("""COMPUTED_VALUE"""),"")</f>
        <v/>
      </c>
      <c r="G960" s="17" t="str">
        <f ca="1">IFERROR(__xludf.DUMMYFUNCTION("""COMPUTED_VALUE"""),"")</f>
        <v/>
      </c>
      <c r="H960" s="17" t="str">
        <v/>
      </c>
    </row>
    <row r="961" spans="5:8" ht="13.2">
      <c r="E961" s="17" t="str">
        <f ca="1">IFERROR(__xludf.DUMMYFUNCTION("""COMPUTED_VALUE"""),"")</f>
        <v/>
      </c>
      <c r="F961" s="17" t="str">
        <f ca="1">IFERROR(__xludf.DUMMYFUNCTION("""COMPUTED_VALUE"""),"")</f>
        <v/>
      </c>
      <c r="G961" s="17" t="str">
        <f ca="1">IFERROR(__xludf.DUMMYFUNCTION("""COMPUTED_VALUE"""),"")</f>
        <v/>
      </c>
      <c r="H961" s="17" t="str">
        <v/>
      </c>
    </row>
    <row r="962" spans="5:8" ht="13.2">
      <c r="E962" s="17" t="str">
        <f ca="1">IFERROR(__xludf.DUMMYFUNCTION("""COMPUTED_VALUE"""),"")</f>
        <v/>
      </c>
      <c r="F962" s="17" t="str">
        <f ca="1">IFERROR(__xludf.DUMMYFUNCTION("""COMPUTED_VALUE"""),"")</f>
        <v/>
      </c>
      <c r="G962" s="17" t="str">
        <f ca="1">IFERROR(__xludf.DUMMYFUNCTION("""COMPUTED_VALUE"""),"")</f>
        <v/>
      </c>
      <c r="H962" s="17" t="str">
        <v/>
      </c>
    </row>
    <row r="963" spans="5:8" ht="13.2">
      <c r="E963" s="17" t="str">
        <f ca="1">IFERROR(__xludf.DUMMYFUNCTION("""COMPUTED_VALUE"""),"")</f>
        <v/>
      </c>
      <c r="F963" s="17" t="str">
        <f ca="1">IFERROR(__xludf.DUMMYFUNCTION("""COMPUTED_VALUE"""),"")</f>
        <v/>
      </c>
      <c r="G963" s="17" t="str">
        <f ca="1">IFERROR(__xludf.DUMMYFUNCTION("""COMPUTED_VALUE"""),"")</f>
        <v/>
      </c>
      <c r="H963" s="17" t="str">
        <v/>
      </c>
    </row>
    <row r="964" spans="5:8" ht="13.2">
      <c r="E964" s="17" t="str">
        <f ca="1">IFERROR(__xludf.DUMMYFUNCTION("""COMPUTED_VALUE"""),"")</f>
        <v/>
      </c>
      <c r="F964" s="17" t="str">
        <f ca="1">IFERROR(__xludf.DUMMYFUNCTION("""COMPUTED_VALUE"""),"")</f>
        <v/>
      </c>
      <c r="G964" s="17" t="str">
        <f ca="1">IFERROR(__xludf.DUMMYFUNCTION("""COMPUTED_VALUE"""),"")</f>
        <v/>
      </c>
      <c r="H964" s="17" t="str">
        <v/>
      </c>
    </row>
    <row r="965" spans="5:8" ht="13.2">
      <c r="E965" s="17" t="str">
        <f ca="1">IFERROR(__xludf.DUMMYFUNCTION("""COMPUTED_VALUE"""),"")</f>
        <v/>
      </c>
      <c r="F965" s="17" t="str">
        <f ca="1">IFERROR(__xludf.DUMMYFUNCTION("""COMPUTED_VALUE"""),"")</f>
        <v/>
      </c>
      <c r="G965" s="17" t="str">
        <f ca="1">IFERROR(__xludf.DUMMYFUNCTION("""COMPUTED_VALUE"""),"")</f>
        <v/>
      </c>
      <c r="H965" s="17" t="str">
        <v/>
      </c>
    </row>
    <row r="966" spans="5:8" ht="13.2">
      <c r="E966" s="17" t="str">
        <f ca="1">IFERROR(__xludf.DUMMYFUNCTION("""COMPUTED_VALUE"""),"")</f>
        <v/>
      </c>
      <c r="F966" s="17" t="str">
        <f ca="1">IFERROR(__xludf.DUMMYFUNCTION("""COMPUTED_VALUE"""),"")</f>
        <v/>
      </c>
      <c r="G966" s="17" t="str">
        <f ca="1">IFERROR(__xludf.DUMMYFUNCTION("""COMPUTED_VALUE"""),"")</f>
        <v/>
      </c>
      <c r="H966" s="17" t="str">
        <v/>
      </c>
    </row>
    <row r="967" spans="5:8" ht="13.2">
      <c r="E967" s="17" t="str">
        <f ca="1">IFERROR(__xludf.DUMMYFUNCTION("""COMPUTED_VALUE"""),"")</f>
        <v/>
      </c>
      <c r="F967" s="17" t="str">
        <f ca="1">IFERROR(__xludf.DUMMYFUNCTION("""COMPUTED_VALUE"""),"")</f>
        <v/>
      </c>
      <c r="G967" s="17" t="str">
        <f ca="1">IFERROR(__xludf.DUMMYFUNCTION("""COMPUTED_VALUE"""),"")</f>
        <v/>
      </c>
      <c r="H967" s="17" t="str">
        <v/>
      </c>
    </row>
    <row r="968" spans="5:8" ht="13.2">
      <c r="E968" s="17" t="str">
        <f ca="1">IFERROR(__xludf.DUMMYFUNCTION("""COMPUTED_VALUE"""),"")</f>
        <v/>
      </c>
      <c r="F968" s="17" t="str">
        <f ca="1">IFERROR(__xludf.DUMMYFUNCTION("""COMPUTED_VALUE"""),"")</f>
        <v/>
      </c>
      <c r="G968" s="17" t="str">
        <f ca="1">IFERROR(__xludf.DUMMYFUNCTION("""COMPUTED_VALUE"""),"")</f>
        <v/>
      </c>
      <c r="H968" s="17" t="str">
        <v/>
      </c>
    </row>
    <row r="969" spans="5:8" ht="13.2">
      <c r="E969" s="17" t="str">
        <f ca="1">IFERROR(__xludf.DUMMYFUNCTION("""COMPUTED_VALUE"""),"")</f>
        <v/>
      </c>
      <c r="F969" s="17" t="str">
        <f ca="1">IFERROR(__xludf.DUMMYFUNCTION("""COMPUTED_VALUE"""),"")</f>
        <v/>
      </c>
      <c r="G969" s="17" t="str">
        <f ca="1">IFERROR(__xludf.DUMMYFUNCTION("""COMPUTED_VALUE"""),"")</f>
        <v/>
      </c>
      <c r="H969" s="17" t="str">
        <v/>
      </c>
    </row>
    <row r="970" spans="5:8" ht="13.2">
      <c r="E970" s="17" t="str">
        <f ca="1">IFERROR(__xludf.DUMMYFUNCTION("""COMPUTED_VALUE"""),"")</f>
        <v/>
      </c>
      <c r="F970" s="17" t="str">
        <f ca="1">IFERROR(__xludf.DUMMYFUNCTION("""COMPUTED_VALUE"""),"")</f>
        <v/>
      </c>
      <c r="G970" s="17" t="str">
        <f ca="1">IFERROR(__xludf.DUMMYFUNCTION("""COMPUTED_VALUE"""),"")</f>
        <v/>
      </c>
      <c r="H970" s="17" t="str">
        <v/>
      </c>
    </row>
    <row r="971" spans="5:8" ht="13.2">
      <c r="E971" s="17" t="str">
        <f ca="1">IFERROR(__xludf.DUMMYFUNCTION("""COMPUTED_VALUE"""),"")</f>
        <v/>
      </c>
      <c r="F971" s="17" t="str">
        <f ca="1">IFERROR(__xludf.DUMMYFUNCTION("""COMPUTED_VALUE"""),"")</f>
        <v/>
      </c>
      <c r="G971" s="17" t="str">
        <f ca="1">IFERROR(__xludf.DUMMYFUNCTION("""COMPUTED_VALUE"""),"")</f>
        <v/>
      </c>
      <c r="H971" s="17" t="str">
        <v/>
      </c>
    </row>
    <row r="972" spans="5:8" ht="13.2">
      <c r="E972" s="17" t="str">
        <f ca="1">IFERROR(__xludf.DUMMYFUNCTION("""COMPUTED_VALUE"""),"")</f>
        <v/>
      </c>
      <c r="F972" s="17" t="str">
        <f ca="1">IFERROR(__xludf.DUMMYFUNCTION("""COMPUTED_VALUE"""),"")</f>
        <v/>
      </c>
      <c r="G972" s="17" t="str">
        <f ca="1">IFERROR(__xludf.DUMMYFUNCTION("""COMPUTED_VALUE"""),"")</f>
        <v/>
      </c>
      <c r="H972" s="17" t="str">
        <v/>
      </c>
    </row>
    <row r="973" spans="5:8" ht="13.2">
      <c r="E973" s="17" t="str">
        <f ca="1">IFERROR(__xludf.DUMMYFUNCTION("""COMPUTED_VALUE"""),"")</f>
        <v/>
      </c>
      <c r="F973" s="17" t="str">
        <f ca="1">IFERROR(__xludf.DUMMYFUNCTION("""COMPUTED_VALUE"""),"")</f>
        <v/>
      </c>
      <c r="G973" s="17" t="str">
        <f ca="1">IFERROR(__xludf.DUMMYFUNCTION("""COMPUTED_VALUE"""),"")</f>
        <v/>
      </c>
      <c r="H973" s="17" t="str">
        <v/>
      </c>
    </row>
    <row r="974" spans="5:8" ht="13.2">
      <c r="E974" s="17" t="str">
        <f ca="1">IFERROR(__xludf.DUMMYFUNCTION("""COMPUTED_VALUE"""),"")</f>
        <v/>
      </c>
      <c r="F974" s="17" t="str">
        <f ca="1">IFERROR(__xludf.DUMMYFUNCTION("""COMPUTED_VALUE"""),"")</f>
        <v/>
      </c>
      <c r="G974" s="17" t="str">
        <f ca="1">IFERROR(__xludf.DUMMYFUNCTION("""COMPUTED_VALUE"""),"")</f>
        <v/>
      </c>
      <c r="H974" s="17" t="str">
        <v/>
      </c>
    </row>
    <row r="975" spans="5:8" ht="13.2">
      <c r="E975" s="17" t="str">
        <f ca="1">IFERROR(__xludf.DUMMYFUNCTION("""COMPUTED_VALUE"""),"")</f>
        <v/>
      </c>
      <c r="F975" s="17" t="str">
        <f ca="1">IFERROR(__xludf.DUMMYFUNCTION("""COMPUTED_VALUE"""),"")</f>
        <v/>
      </c>
      <c r="G975" s="17" t="str">
        <f ca="1">IFERROR(__xludf.DUMMYFUNCTION("""COMPUTED_VALUE"""),"")</f>
        <v/>
      </c>
      <c r="H975" s="17" t="str">
        <v/>
      </c>
    </row>
    <row r="976" spans="5:8" ht="13.2">
      <c r="E976" s="17" t="str">
        <f ca="1">IFERROR(__xludf.DUMMYFUNCTION("""COMPUTED_VALUE"""),"")</f>
        <v/>
      </c>
      <c r="F976" s="17" t="str">
        <f ca="1">IFERROR(__xludf.DUMMYFUNCTION("""COMPUTED_VALUE"""),"")</f>
        <v/>
      </c>
      <c r="G976" s="17" t="str">
        <f ca="1">IFERROR(__xludf.DUMMYFUNCTION("""COMPUTED_VALUE"""),"")</f>
        <v/>
      </c>
      <c r="H976" s="17" t="str">
        <v/>
      </c>
    </row>
    <row r="977" spans="5:8" ht="13.2">
      <c r="E977" s="17" t="str">
        <f ca="1">IFERROR(__xludf.DUMMYFUNCTION("""COMPUTED_VALUE"""),"")</f>
        <v/>
      </c>
      <c r="F977" s="17" t="str">
        <f ca="1">IFERROR(__xludf.DUMMYFUNCTION("""COMPUTED_VALUE"""),"")</f>
        <v/>
      </c>
      <c r="G977" s="17" t="str">
        <f ca="1">IFERROR(__xludf.DUMMYFUNCTION("""COMPUTED_VALUE"""),"")</f>
        <v/>
      </c>
      <c r="H977" s="17" t="str">
        <v/>
      </c>
    </row>
    <row r="978" spans="5:8" ht="13.2">
      <c r="E978" s="17" t="str">
        <f ca="1">IFERROR(__xludf.DUMMYFUNCTION("""COMPUTED_VALUE"""),"")</f>
        <v/>
      </c>
      <c r="F978" s="17" t="str">
        <f ca="1">IFERROR(__xludf.DUMMYFUNCTION("""COMPUTED_VALUE"""),"")</f>
        <v/>
      </c>
      <c r="G978" s="17" t="str">
        <f ca="1">IFERROR(__xludf.DUMMYFUNCTION("""COMPUTED_VALUE"""),"")</f>
        <v/>
      </c>
      <c r="H978" s="17" t="str">
        <v/>
      </c>
    </row>
    <row r="979" spans="5:8" ht="13.2">
      <c r="E979" s="17" t="str">
        <f ca="1">IFERROR(__xludf.DUMMYFUNCTION("""COMPUTED_VALUE"""),"")</f>
        <v/>
      </c>
      <c r="F979" s="17" t="str">
        <f ca="1">IFERROR(__xludf.DUMMYFUNCTION("""COMPUTED_VALUE"""),"")</f>
        <v/>
      </c>
      <c r="G979" s="17" t="str">
        <f ca="1">IFERROR(__xludf.DUMMYFUNCTION("""COMPUTED_VALUE"""),"")</f>
        <v/>
      </c>
      <c r="H979" s="17" t="str">
        <v/>
      </c>
    </row>
    <row r="980" spans="5:8" ht="13.2">
      <c r="E980" s="17" t="str">
        <f ca="1">IFERROR(__xludf.DUMMYFUNCTION("""COMPUTED_VALUE"""),"")</f>
        <v/>
      </c>
      <c r="F980" s="17" t="str">
        <f ca="1">IFERROR(__xludf.DUMMYFUNCTION("""COMPUTED_VALUE"""),"")</f>
        <v/>
      </c>
      <c r="G980" s="17" t="str">
        <f ca="1">IFERROR(__xludf.DUMMYFUNCTION("""COMPUTED_VALUE"""),"")</f>
        <v/>
      </c>
      <c r="H980" s="17" t="str">
        <v/>
      </c>
    </row>
    <row r="981" spans="5:8" ht="13.2">
      <c r="E981" s="17" t="str">
        <f ca="1">IFERROR(__xludf.DUMMYFUNCTION("""COMPUTED_VALUE"""),"")</f>
        <v/>
      </c>
      <c r="F981" s="17" t="str">
        <f ca="1">IFERROR(__xludf.DUMMYFUNCTION("""COMPUTED_VALUE"""),"")</f>
        <v/>
      </c>
      <c r="G981" s="17" t="str">
        <f ca="1">IFERROR(__xludf.DUMMYFUNCTION("""COMPUTED_VALUE"""),"")</f>
        <v/>
      </c>
      <c r="H981" s="17" t="str">
        <v/>
      </c>
    </row>
    <row r="982" spans="5:8" ht="13.2">
      <c r="E982" s="17" t="str">
        <f ca="1">IFERROR(__xludf.DUMMYFUNCTION("""COMPUTED_VALUE"""),"")</f>
        <v/>
      </c>
      <c r="F982" s="17" t="str">
        <f ca="1">IFERROR(__xludf.DUMMYFUNCTION("""COMPUTED_VALUE"""),"")</f>
        <v/>
      </c>
      <c r="G982" s="17" t="str">
        <f ca="1">IFERROR(__xludf.DUMMYFUNCTION("""COMPUTED_VALUE"""),"")</f>
        <v/>
      </c>
      <c r="H982" s="17" t="str">
        <v/>
      </c>
    </row>
    <row r="983" spans="5:8" ht="13.2">
      <c r="E983" s="17" t="str">
        <f ca="1">IFERROR(__xludf.DUMMYFUNCTION("""COMPUTED_VALUE"""),"")</f>
        <v/>
      </c>
      <c r="F983" s="17" t="str">
        <f ca="1">IFERROR(__xludf.DUMMYFUNCTION("""COMPUTED_VALUE"""),"")</f>
        <v/>
      </c>
      <c r="G983" s="17" t="str">
        <f ca="1">IFERROR(__xludf.DUMMYFUNCTION("""COMPUTED_VALUE"""),"")</f>
        <v/>
      </c>
      <c r="H983" s="17" t="str">
        <v/>
      </c>
    </row>
    <row r="984" spans="5:8" ht="13.2">
      <c r="E984" s="17" t="str">
        <f ca="1">IFERROR(__xludf.DUMMYFUNCTION("""COMPUTED_VALUE"""),"")</f>
        <v/>
      </c>
      <c r="F984" s="17" t="str">
        <f ca="1">IFERROR(__xludf.DUMMYFUNCTION("""COMPUTED_VALUE"""),"")</f>
        <v/>
      </c>
      <c r="G984" s="17" t="str">
        <f ca="1">IFERROR(__xludf.DUMMYFUNCTION("""COMPUTED_VALUE"""),"")</f>
        <v/>
      </c>
      <c r="H984" s="17" t="str">
        <v/>
      </c>
    </row>
    <row r="985" spans="5:8" ht="13.2">
      <c r="E985" s="17" t="str">
        <f ca="1">IFERROR(__xludf.DUMMYFUNCTION("""COMPUTED_VALUE"""),"")</f>
        <v/>
      </c>
      <c r="F985" s="17" t="str">
        <f ca="1">IFERROR(__xludf.DUMMYFUNCTION("""COMPUTED_VALUE"""),"")</f>
        <v/>
      </c>
      <c r="G985" s="17" t="str">
        <f ca="1">IFERROR(__xludf.DUMMYFUNCTION("""COMPUTED_VALUE"""),"")</f>
        <v/>
      </c>
      <c r="H985" s="17" t="str">
        <v/>
      </c>
    </row>
    <row r="986" spans="5:8" ht="13.2">
      <c r="E986" s="17" t="str">
        <f ca="1">IFERROR(__xludf.DUMMYFUNCTION("""COMPUTED_VALUE"""),"")</f>
        <v/>
      </c>
      <c r="F986" s="17" t="str">
        <f ca="1">IFERROR(__xludf.DUMMYFUNCTION("""COMPUTED_VALUE"""),"")</f>
        <v/>
      </c>
      <c r="G986" s="17" t="str">
        <f ca="1">IFERROR(__xludf.DUMMYFUNCTION("""COMPUTED_VALUE"""),"")</f>
        <v/>
      </c>
      <c r="H986" s="17" t="str">
        <v/>
      </c>
    </row>
    <row r="987" spans="5:8" ht="13.2">
      <c r="E987" s="17" t="str">
        <f ca="1">IFERROR(__xludf.DUMMYFUNCTION("""COMPUTED_VALUE"""),"")</f>
        <v/>
      </c>
      <c r="F987" s="17" t="str">
        <f ca="1">IFERROR(__xludf.DUMMYFUNCTION("""COMPUTED_VALUE"""),"")</f>
        <v/>
      </c>
      <c r="G987" s="17" t="str">
        <f ca="1">IFERROR(__xludf.DUMMYFUNCTION("""COMPUTED_VALUE"""),"")</f>
        <v/>
      </c>
      <c r="H987" s="17" t="str">
        <v/>
      </c>
    </row>
    <row r="988" spans="5:8" ht="13.2">
      <c r="E988" s="17" t="str">
        <f ca="1">IFERROR(__xludf.DUMMYFUNCTION("""COMPUTED_VALUE"""),"")</f>
        <v/>
      </c>
      <c r="F988" s="17" t="str">
        <f ca="1">IFERROR(__xludf.DUMMYFUNCTION("""COMPUTED_VALUE"""),"")</f>
        <v/>
      </c>
      <c r="G988" s="17" t="str">
        <f ca="1">IFERROR(__xludf.DUMMYFUNCTION("""COMPUTED_VALUE"""),"")</f>
        <v/>
      </c>
      <c r="H988" s="17" t="str">
        <v/>
      </c>
    </row>
    <row r="989" spans="5:8" ht="13.2">
      <c r="E989" s="17" t="str">
        <f ca="1">IFERROR(__xludf.DUMMYFUNCTION("""COMPUTED_VALUE"""),"")</f>
        <v/>
      </c>
      <c r="F989" s="17" t="str">
        <f ca="1">IFERROR(__xludf.DUMMYFUNCTION("""COMPUTED_VALUE"""),"")</f>
        <v/>
      </c>
      <c r="G989" s="17" t="str">
        <f ca="1">IFERROR(__xludf.DUMMYFUNCTION("""COMPUTED_VALUE"""),"")</f>
        <v/>
      </c>
      <c r="H989" s="17" t="str">
        <v/>
      </c>
    </row>
    <row r="990" spans="5:8" ht="13.2">
      <c r="E990" s="17" t="str">
        <f ca="1">IFERROR(__xludf.DUMMYFUNCTION("""COMPUTED_VALUE"""),"")</f>
        <v/>
      </c>
      <c r="F990" s="17" t="str">
        <f ca="1">IFERROR(__xludf.DUMMYFUNCTION("""COMPUTED_VALUE"""),"")</f>
        <v/>
      </c>
      <c r="G990" s="17" t="str">
        <f ca="1">IFERROR(__xludf.DUMMYFUNCTION("""COMPUTED_VALUE"""),"")</f>
        <v/>
      </c>
      <c r="H990" s="17" t="str">
        <v/>
      </c>
    </row>
    <row r="991" spans="5:8" ht="13.2">
      <c r="E991" s="17" t="str">
        <f ca="1">IFERROR(__xludf.DUMMYFUNCTION("""COMPUTED_VALUE"""),"")</f>
        <v/>
      </c>
      <c r="F991" s="17" t="str">
        <f ca="1">IFERROR(__xludf.DUMMYFUNCTION("""COMPUTED_VALUE"""),"")</f>
        <v/>
      </c>
      <c r="G991" s="17" t="str">
        <f ca="1">IFERROR(__xludf.DUMMYFUNCTION("""COMPUTED_VALUE"""),"")</f>
        <v/>
      </c>
      <c r="H991" s="17" t="str">
        <v/>
      </c>
    </row>
    <row r="992" spans="5:8" ht="13.2">
      <c r="E992" s="17" t="str">
        <f ca="1">IFERROR(__xludf.DUMMYFUNCTION("""COMPUTED_VALUE"""),"")</f>
        <v/>
      </c>
      <c r="F992" s="17" t="str">
        <f ca="1">IFERROR(__xludf.DUMMYFUNCTION("""COMPUTED_VALUE"""),"")</f>
        <v/>
      </c>
      <c r="G992" s="17" t="str">
        <f ca="1">IFERROR(__xludf.DUMMYFUNCTION("""COMPUTED_VALUE"""),"")</f>
        <v/>
      </c>
      <c r="H992" s="17" t="str">
        <v/>
      </c>
    </row>
    <row r="993" spans="5:8" ht="13.2">
      <c r="E993" s="17" t="str">
        <f ca="1">IFERROR(__xludf.DUMMYFUNCTION("""COMPUTED_VALUE"""),"")</f>
        <v/>
      </c>
      <c r="F993" s="17" t="str">
        <f ca="1">IFERROR(__xludf.DUMMYFUNCTION("""COMPUTED_VALUE"""),"")</f>
        <v/>
      </c>
      <c r="G993" s="17" t="str">
        <f ca="1">IFERROR(__xludf.DUMMYFUNCTION("""COMPUTED_VALUE"""),"")</f>
        <v/>
      </c>
      <c r="H993" s="17" t="str">
        <v/>
      </c>
    </row>
    <row r="994" spans="5:8" ht="13.2">
      <c r="E994" s="17" t="str">
        <f ca="1">IFERROR(__xludf.DUMMYFUNCTION("""COMPUTED_VALUE"""),"")</f>
        <v/>
      </c>
      <c r="F994" s="17" t="str">
        <f ca="1">IFERROR(__xludf.DUMMYFUNCTION("""COMPUTED_VALUE"""),"")</f>
        <v/>
      </c>
      <c r="G994" s="17" t="str">
        <f ca="1">IFERROR(__xludf.DUMMYFUNCTION("""COMPUTED_VALUE"""),"")</f>
        <v/>
      </c>
      <c r="H994" s="17" t="str">
        <v/>
      </c>
    </row>
    <row r="995" spans="5:8" ht="13.2">
      <c r="E995" s="17" t="str">
        <f ca="1">IFERROR(__xludf.DUMMYFUNCTION("""COMPUTED_VALUE"""),"")</f>
        <v/>
      </c>
      <c r="F995" s="17" t="str">
        <f ca="1">IFERROR(__xludf.DUMMYFUNCTION("""COMPUTED_VALUE"""),"")</f>
        <v/>
      </c>
      <c r="G995" s="17" t="str">
        <f ca="1">IFERROR(__xludf.DUMMYFUNCTION("""COMPUTED_VALUE"""),"")</f>
        <v/>
      </c>
      <c r="H995" s="17" t="str">
        <v/>
      </c>
    </row>
    <row r="996" spans="5:8" ht="13.2">
      <c r="E996" s="17" t="str">
        <f ca="1">IFERROR(__xludf.DUMMYFUNCTION("""COMPUTED_VALUE"""),"")</f>
        <v/>
      </c>
      <c r="F996" s="17" t="str">
        <f ca="1">IFERROR(__xludf.DUMMYFUNCTION("""COMPUTED_VALUE"""),"")</f>
        <v/>
      </c>
      <c r="G996" s="17" t="str">
        <f ca="1">IFERROR(__xludf.DUMMYFUNCTION("""COMPUTED_VALUE"""),"")</f>
        <v/>
      </c>
      <c r="H996" s="17" t="str">
        <v/>
      </c>
    </row>
    <row r="997" spans="5:8" ht="13.2">
      <c r="E997" s="17" t="str">
        <f ca="1">IFERROR(__xludf.DUMMYFUNCTION("""COMPUTED_VALUE"""),"")</f>
        <v/>
      </c>
      <c r="F997" s="17" t="str">
        <f ca="1">IFERROR(__xludf.DUMMYFUNCTION("""COMPUTED_VALUE"""),"")</f>
        <v/>
      </c>
      <c r="G997" s="17" t="str">
        <f ca="1">IFERROR(__xludf.DUMMYFUNCTION("""COMPUTED_VALUE"""),"")</f>
        <v/>
      </c>
      <c r="H997" s="17" t="str">
        <v/>
      </c>
    </row>
    <row r="998" spans="5:8" ht="13.2">
      <c r="E998" s="17" t="str">
        <f ca="1">IFERROR(__xludf.DUMMYFUNCTION("""COMPUTED_VALUE"""),"")</f>
        <v/>
      </c>
      <c r="F998" s="17" t="str">
        <f ca="1">IFERROR(__xludf.DUMMYFUNCTION("""COMPUTED_VALUE"""),"")</f>
        <v/>
      </c>
      <c r="G998" s="17" t="str">
        <f ca="1">IFERROR(__xludf.DUMMYFUNCTION("""COMPUTED_VALUE"""),"")</f>
        <v/>
      </c>
      <c r="H998" s="17" t="str">
        <v/>
      </c>
    </row>
    <row r="999" spans="5:8" ht="13.2">
      <c r="E999" s="17" t="str">
        <f ca="1">IFERROR(__xludf.DUMMYFUNCTION("""COMPUTED_VALUE"""),"")</f>
        <v/>
      </c>
      <c r="F999" s="17" t="str">
        <f ca="1">IFERROR(__xludf.DUMMYFUNCTION("""COMPUTED_VALUE"""),"")</f>
        <v/>
      </c>
      <c r="G999" s="17" t="str">
        <f ca="1">IFERROR(__xludf.DUMMYFUNCTION("""COMPUTED_VALUE"""),"")</f>
        <v/>
      </c>
      <c r="H999" s="17" t="str">
        <v/>
      </c>
    </row>
    <row r="1000" spans="5:8" ht="13.2">
      <c r="E1000" s="17" t="str">
        <f ca="1">IFERROR(__xludf.DUMMYFUNCTION("""COMPUTED_VALUE"""),"")</f>
        <v/>
      </c>
      <c r="F1000" s="17" t="str">
        <f ca="1">IFERROR(__xludf.DUMMYFUNCTION("""COMPUTED_VALUE"""),"")</f>
        <v/>
      </c>
      <c r="G1000" s="17" t="str">
        <f ca="1">IFERROR(__xludf.DUMMYFUNCTION("""COMPUTED_VALUE"""),"")</f>
        <v/>
      </c>
      <c r="H1000" s="17" t="str">
        <v/>
      </c>
    </row>
  </sheetData>
  <mergeCells count="11">
    <mergeCell ref="A25:D25"/>
    <mergeCell ref="F25:I25"/>
    <mergeCell ref="A34:H34"/>
    <mergeCell ref="A45:I45"/>
    <mergeCell ref="A1:I1"/>
    <mergeCell ref="A2:I2"/>
    <mergeCell ref="A3:I3"/>
    <mergeCell ref="A8:I8"/>
    <mergeCell ref="A10:I10"/>
    <mergeCell ref="A12:D12"/>
    <mergeCell ref="F12:I12"/>
  </mergeCells>
  <dataValidations count="4">
    <dataValidation type="list" allowBlank="1" showErrorMessage="1" sqref="H9" xr:uid="{00000000-0002-0000-0400-000000000000}">
      <formula1>"Tous,Ce mois,Ce trimestre,Cette année,6 derniers mois"</formula1>
    </dataValidation>
    <dataValidation type="list" allowBlank="1" showErrorMessage="1" sqref="B9" xr:uid="{00000000-0002-0000-0400-000001000000}">
      <formula1>"Tous,Kwetu Nature,Marie Correnson,Parc National des Virunga,Ville de Goma"</formula1>
    </dataValidation>
    <dataValidation type="list" allowBlank="1" showErrorMessage="1" sqref="D9" xr:uid="{00000000-0002-0000-0400-000002000000}">
      <formula1>"Tous,ACTIVITE CULTURELLE,Activité Culturelle,Appui humanitaire,Atelier,Conférence,Cérémonie officielle,Sensibilisation,Visite Guidée"</formula1>
    </dataValidation>
    <dataValidation type="list" allowBlank="1" showErrorMessage="1" sqref="F9" xr:uid="{00000000-0002-0000-0400-000003000000}">
      <formula1>"Tous,Centre,Nord,Sud"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
  <sheetViews>
    <sheetView workbookViewId="0">
      <pane ySplit="1" topLeftCell="A2" activePane="bottomLeft" state="frozen"/>
      <selection pane="bottomLeft" activeCell="B3" sqref="B3"/>
    </sheetView>
  </sheetViews>
  <sheetFormatPr baseColWidth="10" defaultColWidth="12.6640625" defaultRowHeight="15.75" customHeight="1"/>
  <cols>
    <col min="1" max="4" width="18.88671875" customWidth="1"/>
  </cols>
  <sheetData>
    <row r="1" spans="1:4" ht="26.25" customHeight="1">
      <c r="A1" s="35" t="s">
        <v>256</v>
      </c>
      <c r="B1" s="35" t="s">
        <v>292</v>
      </c>
      <c r="C1" s="35" t="s">
        <v>254</v>
      </c>
      <c r="D1" s="35"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Visitestage</vt:lpstr>
      <vt:lpstr>Donnees_Activites</vt:lpstr>
      <vt:lpstr>Dashboard_Auto</vt:lpstr>
      <vt:lpstr>Historique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dc:creator>
  <cp:lastModifiedBy>Esther</cp:lastModifiedBy>
  <dcterms:created xsi:type="dcterms:W3CDTF">2025-11-26T04:25:20Z</dcterms:created>
  <dcterms:modified xsi:type="dcterms:W3CDTF">2025-11-26T11:52:14Z</dcterms:modified>
</cp:coreProperties>
</file>